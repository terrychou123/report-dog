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0840" tabRatio="500"/>
  </bookViews>
  <sheets>
    <sheet name="總覽" sheetId="1" r:id="rId1"/>
    <sheet name="A類" sheetId="2" r:id="rId2"/>
    <sheet name="B類" sheetId="3" r:id="rId3"/>
    <sheet name="C類" sheetId="4" r:id="rId4"/>
    <sheet name="D類" sheetId="5" r:id="rId5"/>
    <sheet name="E類" sheetId="6" r:id="rId6"/>
  </sheets>
  <definedNames>
    <definedName name="_xlnm._FilterDatabase" localSheetId="1" hidden="1">A類!$A$2:$K$17</definedName>
    <definedName name="_xlnm._FilterDatabase" localSheetId="2" hidden="1">B類!$A$2:$K$34</definedName>
    <definedName name="_xlnm._FilterDatabase" localSheetId="3" hidden="1">C類!$A$2:$K$18</definedName>
    <definedName name="_xlnm._FilterDatabase" localSheetId="4" hidden="1">D類!$A$2:$K$11</definedName>
    <definedName name="_xlnm._FilterDatabase" localSheetId="5" hidden="1">E類!$A$2:$K$5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<sst xmlns="http://schemas.openxmlformats.org/spreadsheetml/2006/main" count="546" uniqueCount="362">
  <si>
    <r>
      <t>114</t>
    </r>
    <r>
      <rPr>
        <b/>
        <sz val="16"/>
        <color rgb="FF2F5496"/>
        <rFont val="DejaVu Sans"/>
        <charset val="1"/>
      </rPr>
      <t>年度臺北市老人安養暨長期照顧機構評鑑</t>
    </r>
    <r>
      <rPr>
        <b/>
        <sz val="16"/>
        <color rgb="FF2F5496"/>
        <rFont val="Arial"/>
        <charset val="1"/>
      </rPr>
      <t xml:space="preserve"> </t>
    </r>
    <r>
      <rPr>
        <b/>
        <sz val="16"/>
        <color rgb="FF2F5496"/>
        <rFont val="宋体-简"/>
        <charset val="1"/>
      </rPr>
      <t>此表為私人整理</t>
    </r>
    <r>
      <rPr>
        <b/>
        <sz val="16"/>
        <color rgb="FF2F5496"/>
        <rFont val="Arial"/>
        <charset val="1"/>
      </rPr>
      <t xml:space="preserve"> </t>
    </r>
    <r>
      <rPr>
        <b/>
        <sz val="16"/>
        <color rgb="FF2F5496"/>
        <rFont val="宋体-简"/>
        <charset val="1"/>
      </rPr>
      <t>非官方文件</t>
    </r>
  </si>
  <si>
    <t>自我檢查表總覽</t>
  </si>
  <si>
    <t>機構名稱：</t>
  </si>
  <si>
    <t>填表日期：</t>
  </si>
  <si>
    <t>填表人員：</t>
  </si>
  <si>
    <t>類別</t>
  </si>
  <si>
    <t>指標名稱</t>
  </si>
  <si>
    <t>指標數</t>
  </si>
  <si>
    <t>占比</t>
  </si>
  <si>
    <t>符合數</t>
  </si>
  <si>
    <t>部分符合</t>
  </si>
  <si>
    <t>不符合</t>
  </si>
  <si>
    <t>待確認</t>
  </si>
  <si>
    <t>完成率</t>
  </si>
  <si>
    <t>A</t>
  </si>
  <si>
    <r>
      <rPr>
        <sz val="10"/>
        <rFont val="Arial"/>
        <charset val="1"/>
      </rPr>
      <t>A</t>
    </r>
    <r>
      <rPr>
        <sz val="10"/>
        <rFont val="DejaVu Sans"/>
        <charset val="134"/>
      </rPr>
      <t>、經營管理效能</t>
    </r>
  </si>
  <si>
    <t>20%</t>
  </si>
  <si>
    <t>B</t>
  </si>
  <si>
    <r>
      <rPr>
        <sz val="10"/>
        <rFont val="Arial"/>
        <charset val="1"/>
      </rPr>
      <t>B</t>
    </r>
    <r>
      <rPr>
        <sz val="10"/>
        <rFont val="DejaVu Sans"/>
        <charset val="134"/>
      </rPr>
      <t>、專業照護品質</t>
    </r>
  </si>
  <si>
    <t>40%</t>
  </si>
  <si>
    <t>C</t>
  </si>
  <si>
    <r>
      <rPr>
        <sz val="10"/>
        <rFont val="Arial"/>
        <charset val="1"/>
      </rPr>
      <t>C</t>
    </r>
    <r>
      <rPr>
        <sz val="10"/>
        <rFont val="DejaVu Sans"/>
        <charset val="134"/>
      </rPr>
      <t>、安全環境設備</t>
    </r>
  </si>
  <si>
    <t>25%</t>
  </si>
  <si>
    <t>D</t>
  </si>
  <si>
    <r>
      <rPr>
        <sz val="10"/>
        <rFont val="Arial"/>
        <charset val="1"/>
      </rPr>
      <t>D</t>
    </r>
    <r>
      <rPr>
        <sz val="10"/>
        <rFont val="DejaVu Sans"/>
        <charset val="134"/>
      </rPr>
      <t>、個案權益保障</t>
    </r>
  </si>
  <si>
    <t>13%</t>
  </si>
  <si>
    <t>E</t>
  </si>
  <si>
    <r>
      <rPr>
        <sz val="10"/>
        <rFont val="Arial"/>
        <charset val="1"/>
      </rPr>
      <t>E</t>
    </r>
    <r>
      <rPr>
        <sz val="10"/>
        <rFont val="DejaVu Sans"/>
        <charset val="134"/>
      </rPr>
      <t>、服務改進創新</t>
    </r>
  </si>
  <si>
    <t>2%</t>
  </si>
  <si>
    <t>合計</t>
  </si>
  <si>
    <t>100%</t>
  </si>
  <si>
    <t>重要程度說明：</t>
  </si>
  <si>
    <t>■ 一級必要</t>
  </si>
  <si>
    <t>未達標準將影響整體評鑑成績，需優先準備</t>
  </si>
  <si>
    <t>■ 二級加強</t>
  </si>
  <si>
    <t>加強項目，建議特別關注</t>
  </si>
  <si>
    <r>
      <rPr>
        <b/>
        <sz val="14"/>
        <color rgb="FF2F5496"/>
        <rFont val="Arial"/>
        <charset val="1"/>
      </rPr>
      <t>A</t>
    </r>
    <r>
      <rPr>
        <b/>
        <sz val="14"/>
        <color rgb="FF2F5496"/>
        <rFont val="DejaVu Sans"/>
        <charset val="134"/>
      </rPr>
      <t xml:space="preserve">、經營管理效能 </t>
    </r>
    <r>
      <rPr>
        <b/>
        <sz val="14"/>
        <color rgb="FF2F5496"/>
        <rFont val="Arial"/>
        <charset val="1"/>
      </rPr>
      <t>(</t>
    </r>
    <r>
      <rPr>
        <b/>
        <sz val="14"/>
        <color rgb="FF2F5496"/>
        <rFont val="DejaVu Sans"/>
        <charset val="134"/>
      </rPr>
      <t>占評分總分</t>
    </r>
    <r>
      <rPr>
        <b/>
        <sz val="14"/>
        <color rgb="FF2F5496"/>
        <rFont val="Arial"/>
        <charset val="1"/>
      </rPr>
      <t>20%</t>
    </r>
    <r>
      <rPr>
        <b/>
        <sz val="14"/>
        <color rgb="FF2F5496"/>
        <rFont val="DejaVu Sans"/>
        <charset val="134"/>
      </rPr>
      <t>，共</t>
    </r>
    <r>
      <rPr>
        <b/>
        <sz val="14"/>
        <color rgb="FF2F5496"/>
        <rFont val="Arial"/>
        <charset val="1"/>
      </rPr>
      <t>15</t>
    </r>
    <r>
      <rPr>
        <b/>
        <sz val="14"/>
        <color rgb="FF2F5496"/>
        <rFont val="DejaVu Sans"/>
        <charset val="134"/>
      </rPr>
      <t>項指標</t>
    </r>
    <r>
      <rPr>
        <b/>
        <sz val="14"/>
        <color rgb="FF2F5496"/>
        <rFont val="Arial"/>
        <charset val="1"/>
      </rPr>
      <t>)</t>
    </r>
  </si>
  <si>
    <t>指標編號</t>
  </si>
  <si>
    <t>負責類別</t>
  </si>
  <si>
    <t>重要程度</t>
  </si>
  <si>
    <t>自我檢查項目</t>
  </si>
  <si>
    <r>
      <rPr>
        <b/>
        <sz val="11"/>
        <color rgb="FFFFFFFF"/>
        <rFont val="DejaVu Sans"/>
        <charset val="134"/>
      </rPr>
      <t>應備文件</t>
    </r>
    <r>
      <rPr>
        <b/>
        <sz val="11"/>
        <color rgb="FFFFFFFF"/>
        <rFont val="Arial"/>
        <charset val="1"/>
      </rPr>
      <t>/</t>
    </r>
    <r>
      <rPr>
        <b/>
        <sz val="11"/>
        <color rgb="FFFFFFFF"/>
        <rFont val="DejaVu Sans"/>
        <charset val="134"/>
      </rPr>
      <t>佐證資料</t>
    </r>
  </si>
  <si>
    <t>符合狀況</t>
  </si>
  <si>
    <t>自評等級</t>
  </si>
  <si>
    <t>負責人員</t>
  </si>
  <si>
    <t>預計完成日期</t>
  </si>
  <si>
    <r>
      <rPr>
        <b/>
        <sz val="11"/>
        <color rgb="FFFFFFFF"/>
        <rFont val="DejaVu Sans"/>
        <charset val="134"/>
      </rPr>
      <t>備註</t>
    </r>
    <r>
      <rPr>
        <b/>
        <sz val="11"/>
        <color rgb="FFFFFFFF"/>
        <rFont val="Arial"/>
        <charset val="1"/>
      </rPr>
      <t>/</t>
    </r>
    <r>
      <rPr>
        <b/>
        <sz val="11"/>
        <color rgb="FFFFFFFF"/>
        <rFont val="DejaVu Sans"/>
        <charset val="134"/>
      </rPr>
      <t>改善措施</t>
    </r>
  </si>
  <si>
    <t>A1</t>
  </si>
  <si>
    <t>工作人員權益相關制度訂定及執行情形</t>
  </si>
  <si>
    <t>行政</t>
  </si>
  <si>
    <t>一般</t>
  </si>
  <si>
    <r>
      <rPr>
        <sz val="10"/>
        <rFont val="Arial"/>
        <charset val="1"/>
      </rPr>
      <t>1.</t>
    </r>
    <r>
      <rPr>
        <sz val="10"/>
        <rFont val="DejaVu Sans"/>
        <charset val="134"/>
      </rPr>
      <t>訂定工作手冊</t>
    </r>
    <r>
      <rPr>
        <sz val="10"/>
        <rFont val="Arial"/>
        <charset val="1"/>
      </rPr>
      <t>(</t>
    </r>
    <r>
      <rPr>
        <sz val="10"/>
        <rFont val="DejaVu Sans"/>
        <charset val="134"/>
      </rPr>
      <t>含機構組織架構、各單位及人員業務執掌、重要工作流程、緊急事件求助與通報等聯繫窗口</t>
    </r>
    <r>
      <rPr>
        <sz val="10"/>
        <rFont val="Arial"/>
        <charset val="1"/>
      </rPr>
      <t>)
2.</t>
    </r>
    <r>
      <rPr>
        <sz val="10"/>
        <rFont val="DejaVu Sans"/>
        <charset val="134"/>
      </rPr>
      <t>訂定工作人員權益相關制度</t>
    </r>
    <r>
      <rPr>
        <sz val="10"/>
        <rFont val="Arial"/>
        <charset val="1"/>
      </rPr>
      <t>(</t>
    </r>
    <r>
      <rPr>
        <sz val="10"/>
        <rFont val="DejaVu Sans"/>
        <charset val="134"/>
      </rPr>
      <t>差假、教育訓練、薪資給付、退休撫恤、申訴、考核獎勵、勞健保、身心健康維護等</t>
    </r>
    <r>
      <rPr>
        <sz val="10"/>
        <rFont val="Arial"/>
        <charset val="1"/>
      </rPr>
      <t>)
3.</t>
    </r>
    <r>
      <rPr>
        <sz val="10"/>
        <rFont val="DejaVu Sans"/>
        <charset val="134"/>
      </rPr>
      <t xml:space="preserve">確實依據制度執行，並有佐證資料
</t>
    </r>
    <r>
      <rPr>
        <sz val="10"/>
        <rFont val="Arial"/>
        <charset val="1"/>
      </rPr>
      <t>4.</t>
    </r>
    <r>
      <rPr>
        <sz val="10"/>
        <rFont val="DejaVu Sans"/>
        <charset val="134"/>
      </rPr>
      <t>至少每年</t>
    </r>
    <r>
      <rPr>
        <sz val="10"/>
        <rFont val="Arial"/>
        <charset val="1"/>
      </rPr>
      <t>1</t>
    </r>
    <r>
      <rPr>
        <sz val="10"/>
        <rFont val="DejaVu Sans"/>
        <charset val="134"/>
      </rPr>
      <t>次修訂或審視工作手冊及相關制度</t>
    </r>
  </si>
  <si>
    <t>工作手冊、權益相關制度文件、執行佐證資料、年度修訂紀錄</t>
  </si>
  <si>
    <t>A2</t>
  </si>
  <si>
    <t>入出機構之管理</t>
  </si>
  <si>
    <t>二級加強</t>
  </si>
  <si>
    <r>
      <rPr>
        <sz val="10"/>
        <rFont val="Arial"/>
        <charset val="1"/>
      </rPr>
      <t>1.</t>
    </r>
    <r>
      <rPr>
        <sz val="10"/>
        <rFont val="DejaVu Sans"/>
        <charset val="134"/>
      </rPr>
      <t xml:space="preserve">收容個案類型符合主管機關許可立案時收案類型
</t>
    </r>
    <r>
      <rPr>
        <sz val="10"/>
        <rFont val="Arial"/>
        <charset val="1"/>
      </rPr>
      <t>2.</t>
    </r>
    <r>
      <rPr>
        <sz val="10"/>
        <rFont val="DejaVu Sans"/>
        <charset val="134"/>
      </rPr>
      <t xml:space="preserve">機構收容人數符合主管機關許可立案床數
</t>
    </r>
    <r>
      <rPr>
        <sz val="10"/>
        <rFont val="Arial"/>
        <charset val="1"/>
      </rPr>
      <t>3.</t>
    </r>
    <r>
      <rPr>
        <sz val="10"/>
        <rFont val="DejaVu Sans"/>
        <charset val="134"/>
      </rPr>
      <t>訂有服務對象入出機構辦法</t>
    </r>
    <r>
      <rPr>
        <sz val="10"/>
        <rFont val="Arial"/>
        <charset val="1"/>
      </rPr>
      <t>(</t>
    </r>
    <r>
      <rPr>
        <sz val="10"/>
        <rFont val="DejaVu Sans"/>
        <charset val="134"/>
      </rPr>
      <t>含服務對象、流程與評估機制、服務計畫及收費標準等</t>
    </r>
    <r>
      <rPr>
        <sz val="10"/>
        <rFont val="Arial"/>
        <charset val="1"/>
      </rPr>
      <t>)
4.</t>
    </r>
    <r>
      <rPr>
        <sz val="10"/>
        <rFont val="DejaVu Sans"/>
        <charset val="134"/>
      </rPr>
      <t xml:space="preserve">有專人辦理服務對象入出機構之業務，並確實依據辦法執行
</t>
    </r>
    <r>
      <rPr>
        <sz val="10"/>
        <rFont val="Arial"/>
        <charset val="1"/>
      </rPr>
      <t>5.</t>
    </r>
    <r>
      <rPr>
        <sz val="10"/>
        <rFont val="DejaVu Sans"/>
        <charset val="134"/>
      </rPr>
      <t>最近</t>
    </r>
    <r>
      <rPr>
        <sz val="10"/>
        <rFont val="Arial"/>
        <charset val="1"/>
      </rPr>
      <t>4</t>
    </r>
    <r>
      <rPr>
        <sz val="10"/>
        <rFont val="DejaVu Sans"/>
        <charset val="134"/>
      </rPr>
      <t>年無違規收容紀錄</t>
    </r>
  </si>
  <si>
    <t>立案許可文件、入出機構辦法、收容名冊、入住流程紀錄</t>
  </si>
  <si>
    <t>A3</t>
  </si>
  <si>
    <t>業務計畫及營運方針之擬訂與執行情形</t>
  </si>
  <si>
    <r>
      <rPr>
        <sz val="10"/>
        <rFont val="Arial"/>
        <charset val="1"/>
      </rPr>
      <t>1.</t>
    </r>
    <r>
      <rPr>
        <sz val="10"/>
        <rFont val="DejaVu Sans"/>
        <charset val="134"/>
      </rPr>
      <t xml:space="preserve">應訂定年度業務計畫
</t>
    </r>
    <r>
      <rPr>
        <sz val="10"/>
        <rFont val="Arial"/>
        <charset val="1"/>
      </rPr>
      <t>2.</t>
    </r>
    <r>
      <rPr>
        <sz val="10"/>
        <rFont val="DejaVu Sans"/>
        <charset val="134"/>
      </rPr>
      <t xml:space="preserve">各項業務依計畫確實執行，並應有紀錄及具體績效
</t>
    </r>
    <r>
      <rPr>
        <sz val="10"/>
        <rFont val="Arial"/>
        <charset val="1"/>
      </rPr>
      <t>3.</t>
    </r>
    <r>
      <rPr>
        <sz val="10"/>
        <rFont val="DejaVu Sans"/>
        <charset val="134"/>
      </rPr>
      <t>應訂定短、中長程</t>
    </r>
    <r>
      <rPr>
        <sz val="10"/>
        <rFont val="Arial"/>
        <charset val="1"/>
      </rPr>
      <t>(3</t>
    </r>
    <r>
      <rPr>
        <sz val="10"/>
        <rFont val="DejaVu Sans"/>
        <charset val="134"/>
      </rPr>
      <t>年以上</t>
    </r>
    <r>
      <rPr>
        <sz val="10"/>
        <rFont val="Arial"/>
        <charset val="1"/>
      </rPr>
      <t>)</t>
    </r>
    <r>
      <rPr>
        <sz val="10"/>
        <rFont val="DejaVu Sans"/>
        <charset val="134"/>
      </rPr>
      <t>工作營運發展計畫，並具可行性</t>
    </r>
  </si>
  <si>
    <t>年度業務計畫、短中長程營運發展計畫、執行紀錄及績效報告</t>
  </si>
  <si>
    <t>A4</t>
  </si>
  <si>
    <r>
      <rPr>
        <sz val="10"/>
        <rFont val="DejaVu Sans"/>
        <charset val="134"/>
      </rPr>
      <t>過去</t>
    </r>
    <r>
      <rPr>
        <sz val="10"/>
        <rFont val="Arial"/>
        <charset val="1"/>
      </rPr>
      <t>4</t>
    </r>
    <r>
      <rPr>
        <sz val="10"/>
        <rFont val="DejaVu Sans"/>
        <charset val="134"/>
      </rPr>
      <t>年接受目的事業主管機關查核缺失改善情形</t>
    </r>
  </si>
  <si>
    <r>
      <rPr>
        <sz val="10"/>
        <rFont val="Arial"/>
        <charset val="1"/>
      </rPr>
      <t>1.</t>
    </r>
    <r>
      <rPr>
        <sz val="10"/>
        <rFont val="DejaVu Sans"/>
        <charset val="134"/>
      </rPr>
      <t>與主管機關確認過去</t>
    </r>
    <r>
      <rPr>
        <sz val="10"/>
        <rFont val="Arial"/>
        <charset val="1"/>
      </rPr>
      <t>4</t>
    </r>
    <r>
      <rPr>
        <sz val="10"/>
        <rFont val="DejaVu Sans"/>
        <charset val="134"/>
      </rPr>
      <t xml:space="preserve">年接受查核缺失改善情形
</t>
    </r>
    <r>
      <rPr>
        <sz val="10"/>
        <rFont val="Arial"/>
        <charset val="1"/>
      </rPr>
      <t>2.</t>
    </r>
    <r>
      <rPr>
        <sz val="10"/>
        <rFont val="DejaVu Sans"/>
        <charset val="134"/>
      </rPr>
      <t>過去</t>
    </r>
    <r>
      <rPr>
        <sz val="10"/>
        <rFont val="Arial"/>
        <charset val="1"/>
      </rPr>
      <t>4</t>
    </r>
    <r>
      <rPr>
        <sz val="10"/>
        <rFont val="DejaVu Sans"/>
        <charset val="134"/>
      </rPr>
      <t>年接受目的事業主管機關查核無缺失者，本項以</t>
    </r>
    <r>
      <rPr>
        <sz val="10"/>
        <rFont val="Arial"/>
        <charset val="1"/>
      </rPr>
      <t>A</t>
    </r>
    <r>
      <rPr>
        <sz val="10"/>
        <rFont val="DejaVu Sans"/>
        <charset val="134"/>
      </rPr>
      <t>計分</t>
    </r>
  </si>
  <si>
    <t>歷次查核紀錄、改善報告、主管機關回函</t>
  </si>
  <si>
    <t>A5</t>
  </si>
  <si>
    <t>機構內住民保護、性侵害及性騷擾事件防治機制建置情形</t>
  </si>
  <si>
    <r>
      <rPr>
        <sz val="10"/>
        <rFont val="Arial"/>
        <charset val="1"/>
      </rPr>
      <t>1.</t>
    </r>
    <r>
      <rPr>
        <sz val="10"/>
        <rFont val="DejaVu Sans"/>
        <charset val="134"/>
      </rPr>
      <t>訂有住民保護、性騷擾及性侵害事件處理辦法及流程</t>
    </r>
    <r>
      <rPr>
        <sz val="10"/>
        <rFont val="Arial"/>
        <charset val="1"/>
      </rPr>
      <t>(</t>
    </r>
    <r>
      <rPr>
        <sz val="10"/>
        <rFont val="DejaVu Sans"/>
        <charset val="134"/>
      </rPr>
      <t>含通報流程、轉介</t>
    </r>
    <r>
      <rPr>
        <sz val="10"/>
        <rFont val="Arial"/>
        <charset val="1"/>
      </rPr>
      <t>)
2.</t>
    </r>
    <r>
      <rPr>
        <sz val="10"/>
        <rFont val="DejaVu Sans"/>
        <charset val="134"/>
      </rPr>
      <t xml:space="preserve">分別訂住民保護、性騷擾及性侵害預防措施，並確實執行
</t>
    </r>
    <r>
      <rPr>
        <sz val="10"/>
        <rFont val="Arial"/>
        <charset val="1"/>
      </rPr>
      <t>3.</t>
    </r>
    <r>
      <rPr>
        <sz val="10"/>
        <rFont val="DejaVu Sans"/>
        <charset val="134"/>
      </rPr>
      <t>工作人員清楚處理流程</t>
    </r>
    <r>
      <rPr>
        <sz val="10"/>
        <rFont val="Arial"/>
        <charset val="1"/>
      </rPr>
      <t>(</t>
    </r>
    <r>
      <rPr>
        <sz val="10"/>
        <rFont val="DejaVu Sans"/>
        <charset val="134"/>
      </rPr>
      <t>含申訴及再申訴流程</t>
    </r>
    <r>
      <rPr>
        <sz val="10"/>
        <rFont val="Arial"/>
        <charset val="1"/>
      </rPr>
      <t>)
4.</t>
    </r>
    <r>
      <rPr>
        <sz val="10"/>
        <rFont val="DejaVu Sans"/>
        <charset val="134"/>
      </rPr>
      <t xml:space="preserve">若有發生相關事件均有處理過程紀錄
</t>
    </r>
    <r>
      <rPr>
        <sz val="10"/>
        <rFont val="Arial"/>
        <charset val="1"/>
      </rPr>
      <t>5.</t>
    </r>
    <r>
      <rPr>
        <sz val="10"/>
        <rFont val="DejaVu Sans"/>
        <charset val="134"/>
      </rPr>
      <t>若有發生事件能分析檢討，並有改善方案及執行情形</t>
    </r>
  </si>
  <si>
    <r>
      <rPr>
        <sz val="10"/>
        <rFont val="DejaVu Sans"/>
        <charset val="134"/>
      </rPr>
      <t>住民保護辦法、性騷擾</t>
    </r>
    <r>
      <rPr>
        <sz val="10"/>
        <rFont val="Arial"/>
        <charset val="1"/>
      </rPr>
      <t>/</t>
    </r>
    <r>
      <rPr>
        <sz val="10"/>
        <rFont val="DejaVu Sans"/>
        <charset val="134"/>
      </rPr>
      <t>性侵害防治辦法及流程、通報流程、預防措施文件、事件處理紀錄</t>
    </r>
  </si>
  <si>
    <t>A6</t>
  </si>
  <si>
    <t>危機或緊急事件風險管理情形</t>
  </si>
  <si>
    <r>
      <rPr>
        <sz val="10"/>
        <rFont val="Arial"/>
        <charset val="1"/>
      </rPr>
      <t>1.</t>
    </r>
    <r>
      <rPr>
        <sz val="10"/>
        <rFont val="DejaVu Sans"/>
        <charset val="134"/>
      </rPr>
      <t>訂有機構危機或緊急事件風險管理計畫</t>
    </r>
    <r>
      <rPr>
        <sz val="10"/>
        <rFont val="Arial"/>
        <charset val="1"/>
      </rPr>
      <t>(</t>
    </r>
    <r>
      <rPr>
        <sz val="10"/>
        <rFont val="DejaVu Sans"/>
        <charset val="134"/>
      </rPr>
      <t>含</t>
    </r>
    <r>
      <rPr>
        <sz val="10"/>
        <rFont val="Arial"/>
        <charset val="1"/>
      </rPr>
      <t>3</t>
    </r>
    <r>
      <rPr>
        <sz val="10"/>
        <rFont val="DejaVu Sans"/>
        <charset val="134"/>
      </rPr>
      <t>個以上風險及危機訂定計畫</t>
    </r>
    <r>
      <rPr>
        <sz val="10"/>
        <rFont val="Arial"/>
        <charset val="1"/>
      </rPr>
      <t>)
2.</t>
    </r>
    <r>
      <rPr>
        <sz val="10"/>
        <rFont val="DejaVu Sans"/>
        <charset val="134"/>
      </rPr>
      <t xml:space="preserve">有明確具體處理程序、措施
</t>
    </r>
    <r>
      <rPr>
        <sz val="10"/>
        <rFont val="Arial"/>
        <charset val="1"/>
      </rPr>
      <t>3.</t>
    </r>
    <r>
      <rPr>
        <sz val="10"/>
        <rFont val="DejaVu Sans"/>
        <charset val="134"/>
      </rPr>
      <t xml:space="preserve">事件發生時，能依計畫確實執行並有處理過程之紀錄
</t>
    </r>
    <r>
      <rPr>
        <sz val="10"/>
        <rFont val="Arial"/>
        <charset val="1"/>
      </rPr>
      <t>4.</t>
    </r>
    <r>
      <rPr>
        <sz val="10"/>
        <rFont val="DejaVu Sans"/>
        <charset val="134"/>
      </rPr>
      <t>每半年定期對發生之事件檢討，有分析報告、檢討改善措施及追蹤紀錄</t>
    </r>
  </si>
  <si>
    <r>
      <rPr>
        <sz val="10"/>
        <rFont val="DejaVu Sans"/>
        <charset val="134"/>
      </rPr>
      <t>風險管理計畫、處理程序</t>
    </r>
    <r>
      <rPr>
        <sz val="10"/>
        <rFont val="Arial"/>
        <charset val="1"/>
      </rPr>
      <t>SOP</t>
    </r>
    <r>
      <rPr>
        <sz val="10"/>
        <rFont val="DejaVu Sans"/>
        <charset val="134"/>
      </rPr>
      <t>、事件處理紀錄、半年分析報告及改善追蹤紀錄</t>
    </r>
  </si>
  <si>
    <t>A7</t>
  </si>
  <si>
    <t>業務負責人實際參與行政作業與照顧品質管理情形</t>
  </si>
  <si>
    <t>一級必要</t>
  </si>
  <si>
    <r>
      <rPr>
        <sz val="10"/>
        <rFont val="Arial"/>
        <charset val="1"/>
      </rPr>
      <t>1.</t>
    </r>
    <r>
      <rPr>
        <sz val="10"/>
        <rFont val="DejaVu Sans"/>
        <charset val="134"/>
      </rPr>
      <t xml:space="preserve">資格符合相關法規規定
</t>
    </r>
    <r>
      <rPr>
        <sz val="10"/>
        <rFont val="Arial"/>
        <charset val="1"/>
      </rPr>
      <t>2.</t>
    </r>
    <r>
      <rPr>
        <sz val="10"/>
        <rFont val="DejaVu Sans"/>
        <charset val="134"/>
      </rPr>
      <t xml:space="preserve">專任且於機構投保勞健保、提撥勞退金
</t>
    </r>
    <r>
      <rPr>
        <sz val="10"/>
        <rFont val="Arial"/>
        <charset val="1"/>
      </rPr>
      <t>3.</t>
    </r>
    <r>
      <rPr>
        <sz val="10"/>
        <rFont val="DejaVu Sans"/>
        <charset val="134"/>
      </rPr>
      <t>實際參與行政及照護品質管理</t>
    </r>
  </si>
  <si>
    <t>業務負責人資格證明、勞健保投保資料、勞退金提撥資料、參與管理佐證</t>
  </si>
  <si>
    <t>A8</t>
  </si>
  <si>
    <t>社會工作人員設置情形</t>
  </si>
  <si>
    <r>
      <rPr>
        <sz val="10"/>
        <rFont val="Arial"/>
        <charset val="1"/>
      </rPr>
      <t>1.</t>
    </r>
    <r>
      <rPr>
        <sz val="10"/>
        <rFont val="DejaVu Sans"/>
        <charset val="134"/>
      </rPr>
      <t xml:space="preserve">聘任人數及人員資格符合相關法規標準規定
</t>
    </r>
    <r>
      <rPr>
        <sz val="10"/>
        <rFont val="Arial"/>
        <charset val="1"/>
      </rPr>
      <t>2.</t>
    </r>
    <r>
      <rPr>
        <sz val="10"/>
        <rFont val="DejaVu Sans"/>
        <charset val="134"/>
      </rPr>
      <t>兼任人員之資格及服務人數符合規定</t>
    </r>
  </si>
  <si>
    <t>社工人員名冊、資格證明、兼任合約、服務簽到紀錄</t>
  </si>
  <si>
    <t>A9</t>
  </si>
  <si>
    <t>護理人員設置情形</t>
  </si>
  <si>
    <r>
      <rPr>
        <sz val="10"/>
        <rFont val="Arial"/>
        <charset val="1"/>
      </rPr>
      <t>1.</t>
    </r>
    <r>
      <rPr>
        <sz val="10"/>
        <rFont val="DejaVu Sans"/>
        <charset val="134"/>
      </rPr>
      <t xml:space="preserve">聘任人數符合機構設置標準規定
</t>
    </r>
    <r>
      <rPr>
        <sz val="10"/>
        <rFont val="Arial"/>
        <charset val="1"/>
      </rPr>
      <t>2.</t>
    </r>
    <r>
      <rPr>
        <sz val="10"/>
        <rFont val="DejaVu Sans"/>
        <charset val="134"/>
      </rPr>
      <t xml:space="preserve">護理人員完成執業登錄
</t>
    </r>
    <r>
      <rPr>
        <sz val="10"/>
        <rFont val="Arial"/>
        <charset val="1"/>
      </rPr>
      <t>3.</t>
    </r>
    <r>
      <rPr>
        <sz val="10"/>
        <rFont val="DejaVu Sans"/>
        <charset val="134"/>
      </rPr>
      <t xml:space="preserve">全日均應有護理人員上班
</t>
    </r>
    <r>
      <rPr>
        <sz val="10"/>
        <rFont val="Arial"/>
        <charset val="1"/>
      </rPr>
      <t>4.</t>
    </r>
    <r>
      <rPr>
        <sz val="10"/>
        <rFont val="DejaVu Sans"/>
        <charset val="134"/>
      </rPr>
      <t>最近</t>
    </r>
    <r>
      <rPr>
        <sz val="10"/>
        <rFont val="Arial"/>
        <charset val="1"/>
      </rPr>
      <t>4</t>
    </r>
    <r>
      <rPr>
        <sz val="10"/>
        <rFont val="DejaVu Sans"/>
        <charset val="134"/>
      </rPr>
      <t>年內護理人員之聘用無違規紀錄</t>
    </r>
  </si>
  <si>
    <r>
      <rPr>
        <sz val="10"/>
        <rFont val="DejaVu Sans"/>
        <charset val="134"/>
      </rPr>
      <t>護理人員名冊、執業登錄證明、排班表、護理紀錄、</t>
    </r>
    <r>
      <rPr>
        <sz val="10"/>
        <rFont val="Arial"/>
        <charset val="1"/>
      </rPr>
      <t>4</t>
    </r>
    <r>
      <rPr>
        <sz val="10"/>
        <rFont val="DejaVu Sans"/>
        <charset val="134"/>
      </rPr>
      <t>年內無違規證明</t>
    </r>
  </si>
  <si>
    <t>A10</t>
  </si>
  <si>
    <r>
      <rPr>
        <sz val="10"/>
        <rFont val="DejaVu Sans"/>
        <charset val="134"/>
      </rPr>
      <t>兼任</t>
    </r>
    <r>
      <rPr>
        <sz val="10"/>
        <rFont val="Arial"/>
        <charset val="1"/>
      </rPr>
      <t>(</t>
    </r>
    <r>
      <rPr>
        <sz val="10"/>
        <rFont val="DejaVu Sans"/>
        <charset val="134"/>
      </rPr>
      <t>特約</t>
    </r>
    <r>
      <rPr>
        <sz val="10"/>
        <rFont val="Arial"/>
        <charset val="1"/>
      </rPr>
      <t>)</t>
    </r>
    <r>
      <rPr>
        <sz val="10"/>
        <rFont val="DejaVu Sans"/>
        <charset val="134"/>
      </rPr>
      <t>專業人員設置情形</t>
    </r>
  </si>
  <si>
    <r>
      <rPr>
        <sz val="10"/>
        <rFont val="Arial"/>
        <charset val="1"/>
      </rPr>
      <t>1.</t>
    </r>
    <r>
      <rPr>
        <sz val="10"/>
        <rFont val="DejaVu Sans"/>
        <charset val="134"/>
      </rPr>
      <t xml:space="preserve">有合格且符合機構設置標準之專業人員
</t>
    </r>
    <r>
      <rPr>
        <sz val="10"/>
        <rFont val="Arial"/>
        <charset val="1"/>
      </rPr>
      <t>2.</t>
    </r>
    <r>
      <rPr>
        <sz val="10"/>
        <rFont val="DejaVu Sans"/>
        <charset val="134"/>
      </rPr>
      <t>兼任</t>
    </r>
    <r>
      <rPr>
        <sz val="10"/>
        <rFont val="Arial"/>
        <charset val="1"/>
      </rPr>
      <t>(</t>
    </r>
    <r>
      <rPr>
        <sz val="10"/>
        <rFont val="DejaVu Sans"/>
        <charset val="134"/>
      </rPr>
      <t>特約</t>
    </r>
    <r>
      <rPr>
        <sz val="10"/>
        <rFont val="Arial"/>
        <charset val="1"/>
      </rPr>
      <t>)</t>
    </r>
    <r>
      <rPr>
        <sz val="10"/>
        <rFont val="DejaVu Sans"/>
        <charset val="134"/>
      </rPr>
      <t>之專業人員依法完成支援報備程序</t>
    </r>
  </si>
  <si>
    <t>專業人員名冊、資格證明、支援報備公文或合約、排班表及簽到紀錄</t>
  </si>
  <si>
    <t>A11</t>
  </si>
  <si>
    <t>照顧服務員設置情形</t>
  </si>
  <si>
    <r>
      <rPr>
        <sz val="10"/>
        <rFont val="DejaVu Sans"/>
        <charset val="134"/>
      </rPr>
      <t>行政</t>
    </r>
    <r>
      <rPr>
        <sz val="10"/>
        <rFont val="Arial"/>
        <charset val="1"/>
      </rPr>
      <t>/</t>
    </r>
    <r>
      <rPr>
        <sz val="10"/>
        <rFont val="DejaVu Sans"/>
        <charset val="134"/>
      </rPr>
      <t>護</t>
    </r>
    <r>
      <rPr>
        <sz val="10"/>
        <rFont val="Arial"/>
        <charset val="1"/>
      </rPr>
      <t>B</t>
    </r>
  </si>
  <si>
    <r>
      <rPr>
        <sz val="10"/>
        <rFont val="Arial"/>
        <charset val="1"/>
      </rPr>
      <t>1.</t>
    </r>
    <r>
      <rPr>
        <sz val="10"/>
        <rFont val="DejaVu Sans"/>
        <charset val="134"/>
      </rPr>
      <t xml:space="preserve">所聘照顧服務員人數及人員資格符合法規規定
</t>
    </r>
    <r>
      <rPr>
        <sz val="10"/>
        <rFont val="Arial"/>
        <charset val="1"/>
      </rPr>
      <t>2.</t>
    </r>
    <r>
      <rPr>
        <sz val="10"/>
        <rFont val="DejaVu Sans"/>
        <charset val="134"/>
      </rPr>
      <t xml:space="preserve">全日各班應有我國籍照服員上班
</t>
    </r>
    <r>
      <rPr>
        <sz val="10"/>
        <rFont val="Arial"/>
        <charset val="1"/>
      </rPr>
      <t>3.</t>
    </r>
    <r>
      <rPr>
        <sz val="10"/>
        <rFont val="DejaVu Sans"/>
        <charset val="134"/>
      </rPr>
      <t>每位照顧服務員確實執行照顧服務工作，並熟悉照顧之實務操作</t>
    </r>
  </si>
  <si>
    <t>照服員名冊、資格證明、排班表、照護紀錄、身分證明文件</t>
  </si>
  <si>
    <t>A12</t>
  </si>
  <si>
    <t>工作人員勞動條件符合法令情形</t>
  </si>
  <si>
    <r>
      <rPr>
        <sz val="10"/>
        <rFont val="Arial"/>
        <charset val="1"/>
      </rPr>
      <t>1.</t>
    </r>
    <r>
      <rPr>
        <sz val="10"/>
        <rFont val="DejaVu Sans"/>
        <charset val="134"/>
      </rPr>
      <t>近</t>
    </r>
    <r>
      <rPr>
        <sz val="10"/>
        <rFont val="Arial"/>
        <charset val="1"/>
      </rPr>
      <t>4</t>
    </r>
    <r>
      <rPr>
        <sz val="10"/>
        <rFont val="DejaVu Sans"/>
        <charset val="134"/>
      </rPr>
      <t xml:space="preserve">年內無違反勞動基準法經處罰之情事
</t>
    </r>
    <r>
      <rPr>
        <sz val="10"/>
        <rFont val="Arial"/>
        <charset val="1"/>
      </rPr>
      <t>2.</t>
    </r>
    <r>
      <rPr>
        <sz val="10"/>
        <rFont val="DejaVu Sans"/>
        <charset val="134"/>
      </rPr>
      <t>近</t>
    </r>
    <r>
      <rPr>
        <sz val="10"/>
        <rFont val="Arial"/>
        <charset val="1"/>
      </rPr>
      <t>4</t>
    </r>
    <r>
      <rPr>
        <sz val="10"/>
        <rFont val="DejaVu Sans"/>
        <charset val="134"/>
      </rPr>
      <t xml:space="preserve">年內無違反性別工作平等法經處罰之情事
</t>
    </r>
    <r>
      <rPr>
        <sz val="10"/>
        <rFont val="Arial"/>
        <charset val="1"/>
      </rPr>
      <t>3.</t>
    </r>
    <r>
      <rPr>
        <sz val="10"/>
        <rFont val="DejaVu Sans"/>
        <charset val="134"/>
      </rPr>
      <t>近</t>
    </r>
    <r>
      <rPr>
        <sz val="10"/>
        <rFont val="Arial"/>
        <charset val="1"/>
      </rPr>
      <t>4</t>
    </r>
    <r>
      <rPr>
        <sz val="10"/>
        <rFont val="DejaVu Sans"/>
        <charset val="134"/>
      </rPr>
      <t>年內無違反勞工退休金條例經處罰之情事</t>
    </r>
  </si>
  <si>
    <r>
      <rPr>
        <sz val="10"/>
        <rFont val="DejaVu Sans"/>
        <charset val="134"/>
      </rPr>
      <t>勞動條件自我檢核表、無違規證明</t>
    </r>
    <r>
      <rPr>
        <sz val="10"/>
        <rFont val="Arial"/>
        <charset val="1"/>
      </rPr>
      <t>(</t>
    </r>
    <r>
      <rPr>
        <sz val="10"/>
        <rFont val="DejaVu Sans"/>
        <charset val="134"/>
      </rPr>
      <t>主管機關提供</t>
    </r>
    <r>
      <rPr>
        <sz val="10"/>
        <rFont val="Arial"/>
        <charset val="1"/>
      </rPr>
      <t>)</t>
    </r>
  </si>
  <si>
    <t>A13</t>
  </si>
  <si>
    <t>新進工作人員職前訓練情形</t>
  </si>
  <si>
    <r>
      <rPr>
        <sz val="10"/>
        <rFont val="Arial"/>
        <charset val="1"/>
      </rPr>
      <t>1.</t>
    </r>
    <r>
      <rPr>
        <sz val="10"/>
        <rFont val="DejaVu Sans"/>
        <charset val="134"/>
      </rPr>
      <t>新進工作人員至少接受</t>
    </r>
    <r>
      <rPr>
        <sz val="10"/>
        <rFont val="Arial"/>
        <charset val="1"/>
      </rPr>
      <t>16</t>
    </r>
    <r>
      <rPr>
        <sz val="10"/>
        <rFont val="DejaVu Sans"/>
        <charset val="134"/>
      </rPr>
      <t>小時職前訓練</t>
    </r>
    <r>
      <rPr>
        <sz val="10"/>
        <rFont val="Arial"/>
        <charset val="1"/>
      </rPr>
      <t>(</t>
    </r>
    <r>
      <rPr>
        <sz val="10"/>
        <rFont val="DejaVu Sans"/>
        <charset val="134"/>
      </rPr>
      <t>含環境介紹、防災、勞工安全衛生教育至少</t>
    </r>
    <r>
      <rPr>
        <sz val="10"/>
        <rFont val="Arial"/>
        <charset val="1"/>
      </rPr>
      <t>3</t>
    </r>
    <r>
      <rPr>
        <sz val="10"/>
        <rFont val="DejaVu Sans"/>
        <charset val="134"/>
      </rPr>
      <t>小時、感染管制至少</t>
    </r>
    <r>
      <rPr>
        <sz val="10"/>
        <rFont val="Arial"/>
        <charset val="1"/>
      </rPr>
      <t>4</t>
    </r>
    <r>
      <rPr>
        <sz val="10"/>
        <rFont val="DejaVu Sans"/>
        <charset val="134"/>
      </rPr>
      <t>小時、緊急事件處理、實地操作及老人保護概念等</t>
    </r>
    <r>
      <rPr>
        <sz val="10"/>
        <rFont val="Arial"/>
        <charset val="1"/>
      </rPr>
      <t>)
2.</t>
    </r>
    <r>
      <rPr>
        <sz val="10"/>
        <rFont val="DejaVu Sans"/>
        <charset val="134"/>
      </rPr>
      <t>新進工作人員之職前訓練，應於到職後</t>
    </r>
    <r>
      <rPr>
        <sz val="10"/>
        <rFont val="Arial"/>
        <charset val="1"/>
      </rPr>
      <t>1</t>
    </r>
    <r>
      <rPr>
        <sz val="10"/>
        <rFont val="DejaVu Sans"/>
        <charset val="134"/>
      </rPr>
      <t xml:space="preserve">個月內完成
</t>
    </r>
    <r>
      <rPr>
        <sz val="10"/>
        <rFont val="Arial"/>
        <charset val="1"/>
      </rPr>
      <t>3.</t>
    </r>
    <r>
      <rPr>
        <sz val="10"/>
        <rFont val="DejaVu Sans"/>
        <charset val="134"/>
      </rPr>
      <t>對於訓練有效益評量</t>
    </r>
    <r>
      <rPr>
        <sz val="10"/>
        <rFont val="Arial"/>
        <charset val="1"/>
      </rPr>
      <t>(</t>
    </r>
    <r>
      <rPr>
        <sz val="10"/>
        <rFont val="DejaVu Sans"/>
        <charset val="134"/>
      </rPr>
      <t>含機構適任性考核與受訓人員意見調查或回饋表</t>
    </r>
    <r>
      <rPr>
        <sz val="10"/>
        <rFont val="Arial"/>
        <charset val="1"/>
      </rPr>
      <t>)</t>
    </r>
  </si>
  <si>
    <t>新進人員職前訓練計畫、簽到表、訓練紀錄及證明、適任性考核資料、回饋表</t>
  </si>
  <si>
    <t>A14</t>
  </si>
  <si>
    <t>在職教育訓練計畫訂定及辦理情形</t>
  </si>
  <si>
    <r>
      <rPr>
        <sz val="10"/>
        <rFont val="Arial"/>
        <charset val="1"/>
      </rPr>
      <t>1.</t>
    </r>
    <r>
      <rPr>
        <sz val="10"/>
        <rFont val="DejaVu Sans"/>
        <charset val="134"/>
      </rPr>
      <t>依機構發展方向與服務內涵訂定員工在職教育訓練計畫</t>
    </r>
    <r>
      <rPr>
        <sz val="10"/>
        <rFont val="Arial"/>
        <charset val="1"/>
      </rPr>
      <t>(</t>
    </r>
    <r>
      <rPr>
        <sz val="10"/>
        <rFont val="DejaVu Sans"/>
        <charset val="134"/>
      </rPr>
      <t>含內部訓練及外部訓練</t>
    </r>
    <r>
      <rPr>
        <sz val="10"/>
        <rFont val="Arial"/>
        <charset val="1"/>
      </rPr>
      <t>)
2.</t>
    </r>
    <r>
      <rPr>
        <sz val="10"/>
        <rFont val="DejaVu Sans"/>
        <charset val="134"/>
      </rPr>
      <t>每位工作人員每年至少接受</t>
    </r>
    <r>
      <rPr>
        <sz val="10"/>
        <rFont val="Arial"/>
        <charset val="1"/>
      </rPr>
      <t>20</t>
    </r>
    <r>
      <rPr>
        <sz val="10"/>
        <rFont val="DejaVu Sans"/>
        <charset val="134"/>
      </rPr>
      <t>小時，其中感染管制至少</t>
    </r>
    <r>
      <rPr>
        <sz val="10"/>
        <rFont val="Arial"/>
        <charset val="1"/>
      </rPr>
      <t>4</t>
    </r>
    <r>
      <rPr>
        <sz val="10"/>
        <rFont val="DejaVu Sans"/>
        <charset val="134"/>
      </rPr>
      <t xml:space="preserve">小時
</t>
    </r>
    <r>
      <rPr>
        <sz val="10"/>
        <rFont val="Arial"/>
        <charset val="1"/>
      </rPr>
      <t>3.</t>
    </r>
    <r>
      <rPr>
        <sz val="10"/>
        <rFont val="DejaVu Sans"/>
        <charset val="134"/>
      </rPr>
      <t xml:space="preserve">每年每位護理人員及照顧服務員，具有接受急救相關訓練有效期之完訓文件證明
</t>
    </r>
    <r>
      <rPr>
        <sz val="10"/>
        <rFont val="Arial"/>
        <charset val="1"/>
      </rPr>
      <t>4.</t>
    </r>
    <r>
      <rPr>
        <sz val="10"/>
        <rFont val="DejaVu Sans"/>
        <charset val="134"/>
      </rPr>
      <t xml:space="preserve">定期辦理勞工安全相關在職訓練
</t>
    </r>
    <r>
      <rPr>
        <sz val="10"/>
        <rFont val="Arial"/>
        <charset val="1"/>
      </rPr>
      <t>5.</t>
    </r>
    <r>
      <rPr>
        <sz val="10"/>
        <rFont val="DejaVu Sans"/>
        <charset val="134"/>
      </rPr>
      <t xml:space="preserve">機構內辦理教育訓練應有評值
</t>
    </r>
    <r>
      <rPr>
        <sz val="10"/>
        <rFont val="Arial"/>
        <charset val="1"/>
      </rPr>
      <t>6.</t>
    </r>
    <r>
      <rPr>
        <sz val="10"/>
        <rFont val="DejaVu Sans"/>
        <charset val="134"/>
      </rPr>
      <t xml:space="preserve">訂有工作人員參與機構外各類教育訓練辦法
</t>
    </r>
    <r>
      <rPr>
        <sz val="10"/>
        <rFont val="Arial"/>
        <charset val="1"/>
      </rPr>
      <t>7.</t>
    </r>
    <r>
      <rPr>
        <sz val="10"/>
        <rFont val="DejaVu Sans"/>
        <charset val="134"/>
      </rPr>
      <t>參與各類機構外教育訓練之人員應有心得報告</t>
    </r>
  </si>
  <si>
    <t>在職教育訓練計畫、訓練紀錄及時數統計、急救訓練證明、勞安訓練紀錄、評值報告、外訓辦法及心得報告</t>
  </si>
  <si>
    <t>A15</t>
  </si>
  <si>
    <t>廚工及供膳人員領照及接受教育訓練情形</t>
  </si>
  <si>
    <r>
      <rPr>
        <sz val="10"/>
        <rFont val="Arial"/>
        <charset val="1"/>
      </rPr>
      <t>1.</t>
    </r>
    <r>
      <rPr>
        <sz val="10"/>
        <rFont val="DejaVu Sans"/>
        <charset val="134"/>
      </rPr>
      <t xml:space="preserve">負責膳食廚工應有丙級以上餐飲技術士執照
</t>
    </r>
    <r>
      <rPr>
        <sz val="10"/>
        <rFont val="Arial"/>
        <charset val="1"/>
      </rPr>
      <t>2.</t>
    </r>
    <r>
      <rPr>
        <sz val="10"/>
        <rFont val="DejaVu Sans"/>
        <charset val="134"/>
      </rPr>
      <t>每年至少接受</t>
    </r>
    <r>
      <rPr>
        <sz val="10"/>
        <rFont val="Arial"/>
        <charset val="1"/>
      </rPr>
      <t>8</t>
    </r>
    <r>
      <rPr>
        <sz val="10"/>
        <rFont val="DejaVu Sans"/>
        <charset val="134"/>
      </rPr>
      <t>小時營養及衛生之教育訓練</t>
    </r>
  </si>
  <si>
    <t>廚工執照影本、營養衛生教育訓練紀錄</t>
  </si>
  <si>
    <r>
      <rPr>
        <b/>
        <sz val="14"/>
        <color rgb="FF548235"/>
        <rFont val="Arial"/>
        <charset val="1"/>
      </rPr>
      <t>B</t>
    </r>
    <r>
      <rPr>
        <b/>
        <sz val="14"/>
        <color rgb="FF548235"/>
        <rFont val="DejaVu Sans"/>
        <charset val="134"/>
      </rPr>
      <t xml:space="preserve">、專業照護品質 </t>
    </r>
    <r>
      <rPr>
        <b/>
        <sz val="14"/>
        <color rgb="FF548235"/>
        <rFont val="Arial"/>
        <charset val="1"/>
      </rPr>
      <t>(</t>
    </r>
    <r>
      <rPr>
        <b/>
        <sz val="14"/>
        <color rgb="FF548235"/>
        <rFont val="DejaVu Sans"/>
        <charset val="134"/>
      </rPr>
      <t>占評分總分</t>
    </r>
    <r>
      <rPr>
        <b/>
        <sz val="14"/>
        <color rgb="FF548235"/>
        <rFont val="Arial"/>
        <charset val="1"/>
      </rPr>
      <t>40%</t>
    </r>
    <r>
      <rPr>
        <b/>
        <sz val="14"/>
        <color rgb="FF548235"/>
        <rFont val="DejaVu Sans"/>
        <charset val="134"/>
      </rPr>
      <t>，共</t>
    </r>
    <r>
      <rPr>
        <b/>
        <sz val="14"/>
        <color rgb="FF548235"/>
        <rFont val="Arial"/>
        <charset val="1"/>
      </rPr>
      <t>32</t>
    </r>
    <r>
      <rPr>
        <b/>
        <sz val="14"/>
        <color rgb="FF548235"/>
        <rFont val="DejaVu Sans"/>
        <charset val="134"/>
      </rPr>
      <t>項指標</t>
    </r>
    <r>
      <rPr>
        <b/>
        <sz val="14"/>
        <color rgb="FF548235"/>
        <rFont val="Arial"/>
        <charset val="1"/>
      </rPr>
      <t>)</t>
    </r>
  </si>
  <si>
    <t>B1</t>
  </si>
  <si>
    <t>定期召開服務品質會議及其辦理情形</t>
  </si>
  <si>
    <r>
      <rPr>
        <sz val="10"/>
        <rFont val="Arial"/>
        <charset val="1"/>
      </rPr>
      <t>1.</t>
    </r>
    <r>
      <rPr>
        <sz val="10"/>
        <rFont val="DejaVu Sans"/>
        <charset val="134"/>
      </rPr>
      <t>每</t>
    </r>
    <r>
      <rPr>
        <sz val="10"/>
        <rFont val="Arial"/>
        <charset val="1"/>
      </rPr>
      <t>3</t>
    </r>
    <r>
      <rPr>
        <sz val="10"/>
        <rFont val="DejaVu Sans"/>
        <charset val="134"/>
      </rPr>
      <t>個月定期召開機構內部服務品質相關會議</t>
    </r>
    <r>
      <rPr>
        <sz val="10"/>
        <rFont val="Arial"/>
        <charset val="1"/>
      </rPr>
      <t>(</t>
    </r>
    <r>
      <rPr>
        <sz val="10"/>
        <rFont val="DejaVu Sans"/>
        <charset val="134"/>
      </rPr>
      <t>含品質改善等內容</t>
    </r>
    <r>
      <rPr>
        <sz val="10"/>
        <rFont val="Arial"/>
        <charset val="1"/>
      </rPr>
      <t>)
2.</t>
    </r>
    <r>
      <rPr>
        <sz val="10"/>
        <rFont val="DejaVu Sans"/>
        <charset val="134"/>
      </rPr>
      <t>會議決議事項須有執行及追蹤管考制度之落實</t>
    </r>
  </si>
  <si>
    <t>服務品質會議紀錄、決議事項追蹤管考紀錄</t>
  </si>
  <si>
    <t>B2</t>
  </si>
  <si>
    <t>個案服務計畫與評值及管理情形</t>
  </si>
  <si>
    <r>
      <rPr>
        <sz val="10"/>
        <rFont val="DejaVu Sans"/>
        <charset val="134"/>
      </rPr>
      <t>社工</t>
    </r>
    <r>
      <rPr>
        <sz val="10"/>
        <rFont val="Arial"/>
        <charset val="1"/>
      </rPr>
      <t>/</t>
    </r>
    <r>
      <rPr>
        <sz val="10"/>
        <rFont val="DejaVu Sans"/>
        <charset val="134"/>
      </rPr>
      <t>護理</t>
    </r>
  </si>
  <si>
    <r>
      <rPr>
        <sz val="10"/>
        <rFont val="Arial"/>
        <charset val="1"/>
      </rPr>
      <t>1.</t>
    </r>
    <r>
      <rPr>
        <sz val="10"/>
        <rFont val="DejaVu Sans"/>
        <charset val="134"/>
      </rPr>
      <t>新進服務對象應於入住</t>
    </r>
    <r>
      <rPr>
        <sz val="10"/>
        <rFont val="Arial"/>
        <charset val="1"/>
      </rPr>
      <t>72</t>
    </r>
    <r>
      <rPr>
        <sz val="10"/>
        <rFont val="DejaVu Sans"/>
        <charset val="134"/>
      </rPr>
      <t>小時內完成個別化服務</t>
    </r>
    <r>
      <rPr>
        <sz val="10"/>
        <rFont val="Arial"/>
        <charset val="1"/>
      </rPr>
      <t>(</t>
    </r>
    <r>
      <rPr>
        <sz val="10"/>
        <rFont val="DejaVu Sans"/>
        <charset val="134"/>
      </rPr>
      <t>含身體、心理、社會及高風險評估</t>
    </r>
    <r>
      <rPr>
        <sz val="10"/>
        <rFont val="Arial"/>
        <charset val="1"/>
      </rPr>
      <t>)
2.</t>
    </r>
    <r>
      <rPr>
        <sz val="10"/>
        <rFont val="DejaVu Sans"/>
        <charset val="134"/>
      </rPr>
      <t>至少每</t>
    </r>
    <r>
      <rPr>
        <sz val="10"/>
        <rFont val="Arial"/>
        <charset val="1"/>
      </rPr>
      <t>3</t>
    </r>
    <r>
      <rPr>
        <sz val="10"/>
        <rFont val="DejaVu Sans"/>
        <charset val="134"/>
      </rPr>
      <t>個月</t>
    </r>
    <r>
      <rPr>
        <sz val="10"/>
        <rFont val="Arial"/>
        <charset val="1"/>
      </rPr>
      <t>(</t>
    </r>
    <r>
      <rPr>
        <sz val="10"/>
        <rFont val="DejaVu Sans"/>
        <charset val="134"/>
      </rPr>
      <t>安養機構</t>
    </r>
    <r>
      <rPr>
        <sz val="10"/>
        <rFont val="Arial"/>
        <charset val="1"/>
      </rPr>
      <t>6</t>
    </r>
    <r>
      <rPr>
        <sz val="10"/>
        <rFont val="DejaVu Sans"/>
        <charset val="134"/>
      </rPr>
      <t>個月</t>
    </r>
    <r>
      <rPr>
        <sz val="10"/>
        <rFont val="Arial"/>
        <charset val="1"/>
      </rPr>
      <t>)</t>
    </r>
    <r>
      <rPr>
        <sz val="10"/>
        <rFont val="DejaVu Sans"/>
        <charset val="134"/>
      </rPr>
      <t>或依服務對象需要評估服務對象身體</t>
    </r>
    <r>
      <rPr>
        <sz val="10"/>
        <rFont val="Arial"/>
        <charset val="1"/>
      </rPr>
      <t>(</t>
    </r>
    <r>
      <rPr>
        <sz val="10"/>
        <rFont val="DejaVu Sans"/>
        <charset val="134"/>
      </rPr>
      <t>含營</t>
    </r>
    <r>
      <rPr>
        <sz val="10"/>
        <rFont val="Arial"/>
        <charset val="1"/>
      </rPr>
      <t>)</t>
    </r>
    <r>
      <rPr>
        <sz val="10"/>
        <rFont val="DejaVu Sans"/>
        <charset val="134"/>
      </rPr>
      <t xml:space="preserve">、心理、社會、認知及活動功能
</t>
    </r>
    <r>
      <rPr>
        <sz val="10"/>
        <rFont val="Arial"/>
        <charset val="1"/>
      </rPr>
      <t>3.</t>
    </r>
    <r>
      <rPr>
        <sz val="10"/>
        <rFont val="DejaVu Sans"/>
        <charset val="134"/>
      </rPr>
      <t>執行服務措施與照顧計畫一致，並每半年至少</t>
    </r>
    <r>
      <rPr>
        <sz val="10"/>
        <rFont val="Arial"/>
        <charset val="1"/>
      </rPr>
      <t>1</t>
    </r>
    <r>
      <rPr>
        <sz val="10"/>
        <rFont val="DejaVu Sans"/>
        <charset val="134"/>
      </rPr>
      <t xml:space="preserve">次依評估結果與服務對象或家屬共同討論修正照顧計畫
</t>
    </r>
    <r>
      <rPr>
        <sz val="10"/>
        <rFont val="Arial"/>
        <charset val="1"/>
      </rPr>
      <t>4.</t>
    </r>
    <r>
      <rPr>
        <sz val="10"/>
        <rFont val="DejaVu Sans"/>
        <charset val="134"/>
      </rPr>
      <t>建立每位服務對象的資料牆，並依規定年限妥善保存及定期盤點</t>
    </r>
  </si>
  <si>
    <t>個案服務計畫、評估紀錄、照顧計畫修訂紀錄、個案資料牆、體重測量紀錄</t>
  </si>
  <si>
    <t>B3</t>
  </si>
  <si>
    <t>機構資訊化建置及管理情形</t>
  </si>
  <si>
    <t>社工</t>
  </si>
  <si>
    <r>
      <rPr>
        <sz val="10"/>
        <rFont val="Arial"/>
        <charset val="1"/>
      </rPr>
      <t>1.</t>
    </r>
    <r>
      <rPr>
        <sz val="10"/>
        <rFont val="DejaVu Sans"/>
        <charset val="134"/>
      </rPr>
      <t>有服務單位網頁介紹服務內容</t>
    </r>
    <r>
      <rPr>
        <sz val="10"/>
        <rFont val="Arial"/>
        <charset val="1"/>
      </rPr>
      <t>(</t>
    </r>
    <r>
      <rPr>
        <sz val="10"/>
        <rFont val="DejaVu Sans"/>
        <charset val="134"/>
      </rPr>
      <t>含收費標準</t>
    </r>
    <r>
      <rPr>
        <sz val="10"/>
        <rFont val="Arial"/>
        <charset val="1"/>
      </rPr>
      <t>)
2.</t>
    </r>
    <r>
      <rPr>
        <sz val="10"/>
        <rFont val="DejaVu Sans"/>
        <charset val="134"/>
      </rPr>
      <t>訂有資訊管理規範</t>
    </r>
    <r>
      <rPr>
        <sz val="10"/>
        <rFont val="Arial"/>
        <charset val="1"/>
      </rPr>
      <t>(</t>
    </r>
    <r>
      <rPr>
        <sz val="10"/>
        <rFont val="DejaVu Sans"/>
        <charset val="134"/>
      </rPr>
      <t>含安全管理機制</t>
    </r>
    <r>
      <rPr>
        <sz val="10"/>
        <rFont val="Arial"/>
        <charset val="1"/>
      </rPr>
      <t>)
3.</t>
    </r>
    <r>
      <rPr>
        <sz val="10"/>
        <rFont val="DejaVu Sans"/>
        <charset val="134"/>
      </rPr>
      <t xml:space="preserve">有服務對象管理系統，並隨時更新內容
</t>
    </r>
    <r>
      <rPr>
        <sz val="10"/>
        <rFont val="Arial"/>
        <charset val="1"/>
      </rPr>
      <t>4.</t>
    </r>
    <r>
      <rPr>
        <sz val="10"/>
        <rFont val="DejaVu Sans"/>
        <charset val="134"/>
      </rPr>
      <t>有專人維護</t>
    </r>
  </si>
  <si>
    <t>機構網頁截圖、資訊管理規範、系統管理紀錄</t>
  </si>
  <si>
    <t>B4</t>
  </si>
  <si>
    <t>服務對象適應輔導或支持措施</t>
  </si>
  <si>
    <r>
      <rPr>
        <sz val="10"/>
        <rFont val="Arial"/>
        <charset val="1"/>
      </rPr>
      <t>1.</t>
    </r>
    <r>
      <rPr>
        <sz val="10"/>
        <rFont val="DejaVu Sans"/>
        <charset val="134"/>
      </rPr>
      <t>訂有服務對象適應輔導或支持措施</t>
    </r>
    <r>
      <rPr>
        <sz val="10"/>
        <rFont val="Arial"/>
        <charset val="1"/>
      </rPr>
      <t>(</t>
    </r>
    <r>
      <rPr>
        <sz val="10"/>
        <rFont val="DejaVu Sans"/>
        <charset val="134"/>
      </rPr>
      <t>含環境、人員、權利及義務等之解說</t>
    </r>
    <r>
      <rPr>
        <sz val="10"/>
        <rFont val="Arial"/>
        <charset val="1"/>
      </rPr>
      <t>)
2.</t>
    </r>
    <r>
      <rPr>
        <sz val="10"/>
        <rFont val="DejaVu Sans"/>
        <charset val="134"/>
      </rPr>
      <t xml:space="preserve">對出現適應不良或情緒不穩之服務對象有輔導關懷及處理
</t>
    </r>
    <r>
      <rPr>
        <sz val="10"/>
        <rFont val="Arial"/>
        <charset val="1"/>
      </rPr>
      <t>3.</t>
    </r>
    <r>
      <rPr>
        <sz val="10"/>
        <rFont val="DejaVu Sans"/>
        <charset val="134"/>
      </rPr>
      <t>能確實回應服務對象需求，並留有紀錄</t>
    </r>
  </si>
  <si>
    <t>適應輔導措施辦法、輔導紀錄、服務對象需求回應紀錄</t>
  </si>
  <si>
    <t>B5</t>
  </si>
  <si>
    <t>跨專業整合照護執行情形</t>
  </si>
  <si>
    <r>
      <rPr>
        <sz val="10"/>
        <rFont val="Arial"/>
        <charset val="1"/>
      </rPr>
      <t>1.</t>
    </r>
    <r>
      <rPr>
        <sz val="10"/>
        <rFont val="DejaVu Sans"/>
        <charset val="134"/>
      </rPr>
      <t xml:space="preserve">訂有轉介或照會之條件、流程、表單等機制
</t>
    </r>
    <r>
      <rPr>
        <sz val="10"/>
        <rFont val="Arial"/>
        <charset val="1"/>
      </rPr>
      <t>2.</t>
    </r>
    <r>
      <rPr>
        <sz val="10"/>
        <rFont val="DejaVu Sans"/>
        <charset val="134"/>
      </rPr>
      <t>每</t>
    </r>
    <r>
      <rPr>
        <sz val="10"/>
        <rFont val="Arial"/>
        <charset val="1"/>
      </rPr>
      <t>3</t>
    </r>
    <r>
      <rPr>
        <sz val="10"/>
        <rFont val="DejaVu Sans"/>
        <charset val="134"/>
      </rPr>
      <t>個月召開專業聯繫會或個案討論會</t>
    </r>
    <r>
      <rPr>
        <sz val="10"/>
        <rFont val="Arial"/>
        <charset val="1"/>
      </rPr>
      <t>(</t>
    </r>
    <r>
      <rPr>
        <sz val="10"/>
        <rFont val="DejaVu Sans"/>
        <charset val="134"/>
      </rPr>
      <t>至少</t>
    </r>
    <r>
      <rPr>
        <sz val="10"/>
        <rFont val="Arial"/>
        <charset val="1"/>
      </rPr>
      <t>3</t>
    </r>
    <r>
      <rPr>
        <sz val="10"/>
        <rFont val="DejaVu Sans"/>
        <charset val="134"/>
      </rPr>
      <t>種不同領域人員參與</t>
    </r>
    <r>
      <rPr>
        <sz val="10"/>
        <rFont val="Arial"/>
        <charset val="1"/>
      </rPr>
      <t>)</t>
    </r>
    <r>
      <rPr>
        <sz val="10"/>
        <rFont val="DejaVu Sans"/>
        <charset val="134"/>
      </rPr>
      <t xml:space="preserve">，並有紀錄及追蹤
</t>
    </r>
    <r>
      <rPr>
        <sz val="10"/>
        <rFont val="Arial"/>
        <charset val="1"/>
      </rPr>
      <t>3.</t>
    </r>
    <r>
      <rPr>
        <sz val="10"/>
        <rFont val="DejaVu Sans"/>
        <charset val="134"/>
      </rPr>
      <t>依個案需求，確實轉介或照會醫療團隊或其他專業，且有紀錄及追蹤</t>
    </r>
  </si>
  <si>
    <r>
      <rPr>
        <sz val="10"/>
        <rFont val="DejaVu Sans"/>
        <charset val="134"/>
      </rPr>
      <t>轉介</t>
    </r>
    <r>
      <rPr>
        <sz val="10"/>
        <rFont val="Arial"/>
        <charset val="1"/>
      </rPr>
      <t>/</t>
    </r>
    <r>
      <rPr>
        <sz val="10"/>
        <rFont val="DejaVu Sans"/>
        <charset val="134"/>
      </rPr>
      <t>照會辦法、專業聯繫會議紀錄、個案討論會紀錄、追蹤紀錄</t>
    </r>
  </si>
  <si>
    <t>B6</t>
  </si>
  <si>
    <t>服務對象團體或社區活動辦理情形</t>
  </si>
  <si>
    <r>
      <rPr>
        <sz val="10"/>
        <rFont val="Arial"/>
        <charset val="1"/>
      </rPr>
      <t>1.</t>
    </r>
    <r>
      <rPr>
        <sz val="10"/>
        <rFont val="DejaVu Sans"/>
        <charset val="134"/>
      </rPr>
      <t>訂有符合服務對象需求之各類文康活動或團體工作年度計畫</t>
    </r>
    <r>
      <rPr>
        <sz val="10"/>
        <rFont val="Arial"/>
        <charset val="1"/>
      </rPr>
      <t>(</t>
    </r>
    <r>
      <rPr>
        <sz val="10"/>
        <rFont val="DejaVu Sans"/>
        <charset val="134"/>
      </rPr>
      <t>含動態及靜態活動</t>
    </r>
    <r>
      <rPr>
        <sz val="10"/>
        <rFont val="Arial"/>
        <charset val="1"/>
      </rPr>
      <t>)
2.</t>
    </r>
    <r>
      <rPr>
        <sz val="10"/>
        <rFont val="DejaVu Sans"/>
        <charset val="134"/>
      </rPr>
      <t xml:space="preserve">有專人負責或規劃服務對象的個別、團體、社區活動
</t>
    </r>
    <r>
      <rPr>
        <sz val="10"/>
        <rFont val="Arial"/>
        <charset val="1"/>
      </rPr>
      <t>3.</t>
    </r>
    <r>
      <rPr>
        <sz val="10"/>
        <rFont val="DejaVu Sans"/>
        <charset val="134"/>
      </rPr>
      <t>每月至少辦理</t>
    </r>
    <r>
      <rPr>
        <sz val="10"/>
        <rFont val="Arial"/>
        <charset val="1"/>
      </rPr>
      <t>1</t>
    </r>
    <r>
      <rPr>
        <sz val="10"/>
        <rFont val="DejaVu Sans"/>
        <charset val="134"/>
      </rPr>
      <t>次團體或社區活動</t>
    </r>
    <r>
      <rPr>
        <sz val="10"/>
        <rFont val="Arial"/>
        <charset val="1"/>
      </rPr>
      <t>(</t>
    </r>
    <r>
      <rPr>
        <sz val="10"/>
        <rFont val="DejaVu Sans"/>
        <charset val="134"/>
      </rPr>
      <t>可配合節慶</t>
    </r>
    <r>
      <rPr>
        <sz val="10"/>
        <rFont val="Arial"/>
        <charset val="1"/>
      </rPr>
      <t>)</t>
    </r>
    <r>
      <rPr>
        <sz val="10"/>
        <rFont val="DejaVu Sans"/>
        <charset val="134"/>
      </rPr>
      <t xml:space="preserve">，並有紀錄
</t>
    </r>
    <r>
      <rPr>
        <sz val="10"/>
        <rFont val="Arial"/>
        <charset val="1"/>
      </rPr>
      <t>4.</t>
    </r>
    <r>
      <rPr>
        <sz val="10"/>
        <rFont val="DejaVu Sans"/>
        <charset val="134"/>
      </rPr>
      <t>建立三處以上之多元化社區相關服務網絡</t>
    </r>
  </si>
  <si>
    <r>
      <rPr>
        <sz val="10"/>
        <rFont val="DejaVu Sans"/>
        <charset val="134"/>
      </rPr>
      <t>年度活動計畫、活動紀錄</t>
    </r>
    <r>
      <rPr>
        <sz val="10"/>
        <rFont val="Arial"/>
        <charset val="1"/>
      </rPr>
      <t>(</t>
    </r>
    <r>
      <rPr>
        <sz val="10"/>
        <rFont val="DejaVu Sans"/>
        <charset val="134"/>
      </rPr>
      <t>含簽到表、照片、評值</t>
    </r>
    <r>
      <rPr>
        <sz val="10"/>
        <rFont val="Arial"/>
        <charset val="1"/>
      </rPr>
      <t>)</t>
    </r>
    <r>
      <rPr>
        <sz val="10"/>
        <rFont val="DejaVu Sans"/>
        <charset val="134"/>
      </rPr>
      <t>、社區服務網絡資料</t>
    </r>
  </si>
  <si>
    <t>B7</t>
  </si>
  <si>
    <t>社區資源聯結及運用情形</t>
  </si>
  <si>
    <r>
      <rPr>
        <sz val="10"/>
        <rFont val="Arial"/>
        <charset val="1"/>
      </rPr>
      <t>1.</t>
    </r>
    <r>
      <rPr>
        <sz val="10"/>
        <rFont val="DejaVu Sans"/>
        <charset val="134"/>
      </rPr>
      <t xml:space="preserve">訂有社區資源聯結及運用之相關計畫及鼓勵、協助服務對象參與社區交流或宣導服務之策略
</t>
    </r>
    <r>
      <rPr>
        <sz val="10"/>
        <rFont val="Arial"/>
        <charset val="1"/>
      </rPr>
      <t>2.</t>
    </r>
    <r>
      <rPr>
        <sz val="10"/>
        <rFont val="DejaVu Sans"/>
        <charset val="134"/>
      </rPr>
      <t xml:space="preserve">接受社區團體進入服務單位辦理交流活動
</t>
    </r>
    <r>
      <rPr>
        <sz val="10"/>
        <rFont val="Arial"/>
        <charset val="1"/>
      </rPr>
      <t>3.</t>
    </r>
    <r>
      <rPr>
        <sz val="10"/>
        <rFont val="DejaVu Sans"/>
        <charset val="134"/>
      </rPr>
      <t xml:space="preserve">各項活動均留有紀錄
</t>
    </r>
    <r>
      <rPr>
        <sz val="10"/>
        <rFont val="Arial"/>
        <charset val="1"/>
      </rPr>
      <t>4.</t>
    </r>
    <r>
      <rPr>
        <sz val="10"/>
        <rFont val="DejaVu Sans"/>
        <charset val="134"/>
      </rPr>
      <t>建立三處以上之多元化社區相關服務網絡，並定期盤點、更新</t>
    </r>
  </si>
  <si>
    <t>社區資源聯結計畫、外展活動紀錄、社區服務網絡清單</t>
  </si>
  <si>
    <t>B8</t>
  </si>
  <si>
    <t>與家屬互動及提供服務情形</t>
  </si>
  <si>
    <r>
      <rPr>
        <sz val="10"/>
        <rFont val="Arial"/>
        <charset val="1"/>
      </rPr>
      <t>1.</t>
    </r>
    <r>
      <rPr>
        <sz val="10"/>
        <rFont val="DejaVu Sans"/>
        <charset val="134"/>
      </rPr>
      <t>訂有家屬教育之年度計畫</t>
    </r>
    <r>
      <rPr>
        <sz val="10"/>
        <rFont val="Arial"/>
        <charset val="1"/>
      </rPr>
      <t>(</t>
    </r>
    <r>
      <rPr>
        <sz val="10"/>
        <rFont val="DejaVu Sans"/>
        <charset val="134"/>
      </rPr>
      <t>含機構防災、公共安全議題宣導</t>
    </r>
    <r>
      <rPr>
        <sz val="10"/>
        <rFont val="Arial"/>
        <charset val="1"/>
      </rPr>
      <t>)</t>
    </r>
    <r>
      <rPr>
        <sz val="10"/>
        <rFont val="DejaVu Sans"/>
        <charset val="134"/>
      </rPr>
      <t xml:space="preserve">及鼓勵家屬與服務對象互動之策略
</t>
    </r>
    <r>
      <rPr>
        <sz val="10"/>
        <rFont val="Arial"/>
        <charset val="1"/>
      </rPr>
      <t>2.</t>
    </r>
    <r>
      <rPr>
        <sz val="10"/>
        <rFont val="DejaVu Sans"/>
        <charset val="134"/>
      </rPr>
      <t>家屬與服務對象互動</t>
    </r>
    <r>
      <rPr>
        <sz val="10"/>
        <rFont val="Arial"/>
        <charset val="1"/>
      </rPr>
      <t>(</t>
    </r>
    <r>
      <rPr>
        <sz val="10"/>
        <rFont val="DejaVu Sans"/>
        <charset val="134"/>
      </rPr>
      <t>如家屬探訪或服務對象外出與家屬聚會</t>
    </r>
    <r>
      <rPr>
        <sz val="10"/>
        <rFont val="Arial"/>
        <charset val="1"/>
      </rPr>
      <t>)</t>
    </r>
    <r>
      <rPr>
        <sz val="10"/>
        <rFont val="DejaVu Sans"/>
        <charset val="134"/>
      </rPr>
      <t xml:space="preserve">須留有紀錄
</t>
    </r>
    <r>
      <rPr>
        <sz val="10"/>
        <rFont val="Arial"/>
        <charset val="1"/>
      </rPr>
      <t>3.</t>
    </r>
    <r>
      <rPr>
        <sz val="10"/>
        <rFont val="DejaVu Sans"/>
        <charset val="134"/>
      </rPr>
      <t>每年至少辦理</t>
    </r>
    <r>
      <rPr>
        <sz val="10"/>
        <rFont val="Arial"/>
        <charset val="1"/>
      </rPr>
      <t>2</t>
    </r>
    <r>
      <rPr>
        <sz val="10"/>
        <rFont val="DejaVu Sans"/>
        <charset val="134"/>
      </rPr>
      <t xml:space="preserve">次以上符合主題之家屬教育或家屬座談會或聯誼活動，並留有相關文件
</t>
    </r>
    <r>
      <rPr>
        <sz val="10"/>
        <rFont val="Arial"/>
        <charset val="1"/>
      </rPr>
      <t>4.</t>
    </r>
    <r>
      <rPr>
        <sz val="10"/>
        <rFont val="DejaVu Sans"/>
        <charset val="134"/>
      </rPr>
      <t>每季至少</t>
    </r>
    <r>
      <rPr>
        <sz val="10"/>
        <rFont val="Arial"/>
        <charset val="1"/>
      </rPr>
      <t>1</t>
    </r>
    <r>
      <rPr>
        <sz val="10"/>
        <rFont val="DejaVu Sans"/>
        <charset val="134"/>
      </rPr>
      <t>次與每位服務對象之家屬電訪或會談了解其需要</t>
    </r>
  </si>
  <si>
    <r>
      <rPr>
        <sz val="10"/>
        <rFont val="DejaVu Sans"/>
        <charset val="134"/>
      </rPr>
      <t>家屬教育年度計畫、家屬探視紀錄、家屬座談會</t>
    </r>
    <r>
      <rPr>
        <sz val="10"/>
        <rFont val="Arial"/>
        <charset val="1"/>
      </rPr>
      <t>/</t>
    </r>
    <r>
      <rPr>
        <sz val="10"/>
        <rFont val="DejaVu Sans"/>
        <charset val="134"/>
      </rPr>
      <t>聯誼活動紀錄、家屬電訪</t>
    </r>
    <r>
      <rPr>
        <sz val="10"/>
        <rFont val="Arial"/>
        <charset val="1"/>
      </rPr>
      <t>/</t>
    </r>
    <r>
      <rPr>
        <sz val="10"/>
        <rFont val="DejaVu Sans"/>
        <charset val="134"/>
      </rPr>
      <t>會談紀錄</t>
    </r>
  </si>
  <si>
    <t>B9</t>
  </si>
  <si>
    <t>提供服務對象例行及必要之醫療服務情形</t>
  </si>
  <si>
    <r>
      <rPr>
        <sz val="10"/>
        <rFont val="DejaVu Sans"/>
        <charset val="134"/>
      </rPr>
      <t>護</t>
    </r>
    <r>
      <rPr>
        <sz val="10"/>
        <rFont val="Arial"/>
        <charset val="1"/>
      </rPr>
      <t>A</t>
    </r>
  </si>
  <si>
    <r>
      <rPr>
        <sz val="10"/>
        <rFont val="Arial"/>
        <charset val="1"/>
      </rPr>
      <t>1.</t>
    </r>
    <r>
      <rPr>
        <sz val="10"/>
        <rFont val="DejaVu Sans"/>
        <charset val="134"/>
      </rPr>
      <t>聘有特約醫師或與醫療院所訂有診察</t>
    </r>
    <r>
      <rPr>
        <sz val="10"/>
        <rFont val="Arial"/>
        <charset val="1"/>
      </rPr>
      <t>(</t>
    </r>
    <r>
      <rPr>
        <sz val="10"/>
        <rFont val="DejaVu Sans"/>
        <charset val="134"/>
      </rPr>
      <t>巡診</t>
    </r>
    <r>
      <rPr>
        <sz val="10"/>
        <rFont val="Arial"/>
        <charset val="1"/>
      </rPr>
      <t>)</t>
    </r>
    <r>
      <rPr>
        <sz val="10"/>
        <rFont val="DejaVu Sans"/>
        <charset val="134"/>
      </rPr>
      <t xml:space="preserve">服務及緊急後送合約
</t>
    </r>
    <r>
      <rPr>
        <sz val="10"/>
        <rFont val="Arial"/>
        <charset val="1"/>
      </rPr>
      <t>2.</t>
    </r>
    <r>
      <rPr>
        <sz val="10"/>
        <rFont val="DejaVu Sans"/>
        <charset val="134"/>
      </rPr>
      <t>新入住服務對象須於</t>
    </r>
    <r>
      <rPr>
        <sz val="10"/>
        <rFont val="Arial"/>
        <charset val="1"/>
      </rPr>
      <t>1</t>
    </r>
    <r>
      <rPr>
        <sz val="10"/>
        <rFont val="DejaVu Sans"/>
        <charset val="134"/>
      </rPr>
      <t xml:space="preserve">個月內完成醫師診察及評估工作，並有醫療診療服務紀錄
</t>
    </r>
    <r>
      <rPr>
        <sz val="10"/>
        <rFont val="Arial"/>
        <charset val="1"/>
      </rPr>
      <t>3.</t>
    </r>
    <r>
      <rPr>
        <sz val="10"/>
        <rFont val="DejaVu Sans"/>
        <charset val="134"/>
      </rPr>
      <t>每</t>
    </r>
    <r>
      <rPr>
        <sz val="10"/>
        <rFont val="Arial"/>
        <charset val="1"/>
      </rPr>
      <t>3</t>
    </r>
    <r>
      <rPr>
        <sz val="10"/>
        <rFont val="DejaVu Sans"/>
        <charset val="134"/>
      </rPr>
      <t>個月</t>
    </r>
    <r>
      <rPr>
        <sz val="10"/>
        <rFont val="Arial"/>
        <charset val="1"/>
      </rPr>
      <t>(</t>
    </r>
    <r>
      <rPr>
        <sz val="10"/>
        <rFont val="DejaVu Sans"/>
        <charset val="134"/>
      </rPr>
      <t>長期照顧機構每</t>
    </r>
    <r>
      <rPr>
        <sz val="10"/>
        <rFont val="Arial"/>
        <charset val="1"/>
      </rPr>
      <t>1</t>
    </r>
    <r>
      <rPr>
        <sz val="10"/>
        <rFont val="DejaVu Sans"/>
        <charset val="134"/>
      </rPr>
      <t>個月</t>
    </r>
    <r>
      <rPr>
        <sz val="10"/>
        <rFont val="Arial"/>
        <charset val="1"/>
      </rPr>
      <t>)</t>
    </r>
    <r>
      <rPr>
        <sz val="10"/>
        <rFont val="DejaVu Sans"/>
        <charset val="134"/>
      </rPr>
      <t>診察</t>
    </r>
    <r>
      <rPr>
        <sz val="10"/>
        <rFont val="Arial"/>
        <charset val="1"/>
      </rPr>
      <t>(</t>
    </r>
    <r>
      <rPr>
        <sz val="10"/>
        <rFont val="DejaVu Sans"/>
        <charset val="134"/>
      </rPr>
      <t>巡診</t>
    </r>
    <r>
      <rPr>
        <sz val="10"/>
        <rFont val="Arial"/>
        <charset val="1"/>
      </rPr>
      <t>)</t>
    </r>
    <r>
      <rPr>
        <sz val="10"/>
        <rFont val="DejaVu Sans"/>
        <charset val="134"/>
      </rPr>
      <t xml:space="preserve">，並有完整診察紀錄
</t>
    </r>
    <r>
      <rPr>
        <sz val="10"/>
        <rFont val="Arial"/>
        <charset val="1"/>
      </rPr>
      <t>4.</t>
    </r>
    <r>
      <rPr>
        <sz val="10"/>
        <rFont val="DejaVu Sans"/>
        <charset val="134"/>
      </rPr>
      <t xml:space="preserve">能即時處理服務對象健康問題，並有完整紀錄
</t>
    </r>
    <r>
      <rPr>
        <sz val="10"/>
        <rFont val="Arial"/>
        <charset val="1"/>
      </rPr>
      <t>5.</t>
    </r>
    <r>
      <rPr>
        <sz val="10"/>
        <rFont val="DejaVu Sans"/>
        <charset val="134"/>
      </rPr>
      <t>依服務對象個別需求提供巡診並檢討醫療處置</t>
    </r>
  </si>
  <si>
    <t>特約醫師合約、醫療院所後送合約、巡診紀錄、醫師評估紀錄</t>
  </si>
  <si>
    <t>B10</t>
  </si>
  <si>
    <t>防疫機制建置情形</t>
  </si>
  <si>
    <r>
      <rPr>
        <sz val="10"/>
        <rFont val="Arial"/>
        <charset val="1"/>
      </rPr>
      <t>1.</t>
    </r>
    <r>
      <rPr>
        <sz val="10"/>
        <rFont val="DejaVu Sans"/>
        <charset val="134"/>
      </rPr>
      <t>服務對象體溫每日至少測量</t>
    </r>
    <r>
      <rPr>
        <sz val="10"/>
        <rFont val="Arial"/>
        <charset val="1"/>
      </rPr>
      <t>1</t>
    </r>
    <r>
      <rPr>
        <sz val="10"/>
        <rFont val="DejaVu Sans"/>
        <charset val="134"/>
      </rPr>
      <t>次，工作人員體溫每週至少測量</t>
    </r>
    <r>
      <rPr>
        <sz val="10"/>
        <rFont val="Arial"/>
        <charset val="1"/>
      </rPr>
      <t>1</t>
    </r>
    <r>
      <rPr>
        <sz val="10"/>
        <rFont val="DejaVu Sans"/>
        <charset val="134"/>
      </rPr>
      <t xml:space="preserve">次，且有完整紀錄，並依人口密集機構傳染病監視作業注意事項規定按時上網登載
</t>
    </r>
    <r>
      <rPr>
        <sz val="10"/>
        <rFont val="Arial"/>
        <charset val="1"/>
      </rPr>
      <t>2.</t>
    </r>
    <r>
      <rPr>
        <sz val="10"/>
        <rFont val="DejaVu Sans"/>
        <charset val="134"/>
      </rPr>
      <t xml:space="preserve">呼吸道傳染病、腸道傳染病、疥瘡、不明原因發燒及群聚感染事件應訂有業務流程及通報辦法
</t>
    </r>
    <r>
      <rPr>
        <sz val="10"/>
        <rFont val="Arial"/>
        <charset val="1"/>
      </rPr>
      <t>3.</t>
    </r>
    <r>
      <rPr>
        <sz val="10"/>
        <rFont val="DejaVu Sans"/>
        <charset val="134"/>
      </rPr>
      <t xml:space="preserve">配置洗手設施及實施手部衛生作業
</t>
    </r>
    <r>
      <rPr>
        <sz val="10"/>
        <rFont val="Arial"/>
        <charset val="1"/>
      </rPr>
      <t>4.</t>
    </r>
    <r>
      <rPr>
        <sz val="10"/>
        <rFont val="DejaVu Sans"/>
        <charset val="134"/>
      </rPr>
      <t>制定感染管制手冊確實執行並定期更新</t>
    </r>
  </si>
  <si>
    <r>
      <rPr>
        <sz val="10"/>
        <rFont val="DejaVu Sans"/>
        <charset val="134"/>
      </rPr>
      <t>體溫測量紀錄、傳染病通報流程</t>
    </r>
    <r>
      <rPr>
        <sz val="10"/>
        <rFont val="Arial"/>
        <charset val="1"/>
      </rPr>
      <t>SOP</t>
    </r>
    <r>
      <rPr>
        <sz val="10"/>
        <rFont val="DejaVu Sans"/>
        <charset val="134"/>
      </rPr>
      <t>、感染管制手冊、洗手設施照片、感染管制執行紀錄</t>
    </r>
  </si>
  <si>
    <t>B11</t>
  </si>
  <si>
    <t>服務對象處方藥品安全管理情形</t>
  </si>
  <si>
    <r>
      <rPr>
        <sz val="10"/>
        <rFont val="Arial"/>
        <charset val="1"/>
      </rPr>
      <t>1.</t>
    </r>
    <r>
      <rPr>
        <sz val="10"/>
        <rFont val="DejaVu Sans"/>
        <charset val="134"/>
      </rPr>
      <t xml:space="preserve">藥品依規定儲存區分，且均在有效期限內
</t>
    </r>
    <r>
      <rPr>
        <sz val="10"/>
        <rFont val="Arial"/>
        <charset val="1"/>
      </rPr>
      <t>2.</t>
    </r>
    <r>
      <rPr>
        <sz val="10"/>
        <rFont val="DejaVu Sans"/>
        <charset val="134"/>
      </rPr>
      <t xml:space="preserve">藥品盛裝上有清楚標示姓名及服用時間及劑量
</t>
    </r>
    <r>
      <rPr>
        <sz val="10"/>
        <rFont val="Arial"/>
        <charset val="1"/>
      </rPr>
      <t>3.</t>
    </r>
    <r>
      <rPr>
        <sz val="10"/>
        <rFont val="DejaVu Sans"/>
        <charset val="134"/>
      </rPr>
      <t xml:space="preserve">非專業人員不易取得
</t>
    </r>
    <r>
      <rPr>
        <sz val="10"/>
        <rFont val="Arial"/>
        <charset val="1"/>
      </rPr>
      <t>4.</t>
    </r>
    <r>
      <rPr>
        <sz val="10"/>
        <rFont val="DejaVu Sans"/>
        <charset val="134"/>
      </rPr>
      <t>不再使用之管制藥品應送交健保特約藥局或醫療院所回收處理或銷毀</t>
    </r>
  </si>
  <si>
    <t>藥品儲存管理規範、藥品盤點紀錄、管制藥品回收銷毀紀錄</t>
  </si>
  <si>
    <t>B12</t>
  </si>
  <si>
    <t>提供服務對象藥事服務情形</t>
  </si>
  <si>
    <r>
      <rPr>
        <sz val="10"/>
        <rFont val="Arial"/>
        <charset val="1"/>
      </rPr>
      <t>1.</t>
    </r>
    <r>
      <rPr>
        <sz val="10"/>
        <rFont val="DejaVu Sans"/>
        <charset val="134"/>
      </rPr>
      <t xml:space="preserve">由醫護人員執行處方及給藥，並確實執行三讀五對，且有紀錄
</t>
    </r>
    <r>
      <rPr>
        <sz val="10"/>
        <rFont val="Arial"/>
        <charset val="1"/>
      </rPr>
      <t>2.</t>
    </r>
    <r>
      <rPr>
        <sz val="10"/>
        <rFont val="DejaVu Sans"/>
        <charset val="134"/>
      </rPr>
      <t xml:space="preserve">每位服務對象有完整之用藥紀錄
</t>
    </r>
    <r>
      <rPr>
        <sz val="10"/>
        <rFont val="Arial"/>
        <charset val="1"/>
      </rPr>
      <t>3.</t>
    </r>
    <r>
      <rPr>
        <sz val="10"/>
        <rFont val="DejaVu Sans"/>
        <charset val="134"/>
      </rPr>
      <t>每</t>
    </r>
    <r>
      <rPr>
        <sz val="10"/>
        <rFont val="Arial"/>
        <charset val="1"/>
      </rPr>
      <t>3</t>
    </r>
    <r>
      <rPr>
        <sz val="10"/>
        <rFont val="DejaVu Sans"/>
        <charset val="134"/>
      </rPr>
      <t>個月由藥師提供</t>
    </r>
    <r>
      <rPr>
        <sz val="10"/>
        <rFont val="Arial"/>
        <charset val="1"/>
      </rPr>
      <t>1</t>
    </r>
    <r>
      <rPr>
        <sz val="10"/>
        <rFont val="DejaVu Sans"/>
        <charset val="134"/>
      </rPr>
      <t xml:space="preserve">次藥物管理、諮詢或指導並有紀錄
</t>
    </r>
    <r>
      <rPr>
        <sz val="10"/>
        <rFont val="Arial"/>
        <charset val="1"/>
      </rPr>
      <t>4.</t>
    </r>
    <r>
      <rPr>
        <sz val="10"/>
        <rFont val="DejaVu Sans"/>
        <charset val="134"/>
      </rPr>
      <t>對於服務對象用藥能觀察用藥反應、交互作用及重複用藥，必要時與醫師或藥師諮詢，並有追蹤紀錄</t>
    </r>
  </si>
  <si>
    <r>
      <rPr>
        <sz val="10"/>
        <rFont val="DejaVu Sans"/>
        <charset val="134"/>
      </rPr>
      <t>給藥紀錄、用藥紀錄、藥師藥物管理</t>
    </r>
    <r>
      <rPr>
        <sz val="10"/>
        <rFont val="Arial"/>
        <charset val="1"/>
      </rPr>
      <t>/</t>
    </r>
    <r>
      <rPr>
        <sz val="10"/>
        <rFont val="DejaVu Sans"/>
        <charset val="134"/>
      </rPr>
      <t>指導紀錄、用藥追蹤紀錄</t>
    </r>
  </si>
  <si>
    <t>B13</t>
  </si>
  <si>
    <t>服務對象跌倒預防、處理及監測情形</t>
  </si>
  <si>
    <r>
      <rPr>
        <sz val="10"/>
        <rFont val="Arial"/>
        <charset val="1"/>
      </rPr>
      <t>1.</t>
    </r>
    <r>
      <rPr>
        <sz val="10"/>
        <rFont val="DejaVu Sans"/>
        <charset val="134"/>
      </rPr>
      <t xml:space="preserve">訂有服務對象跌倒預防評估措施、處理辦法及流程，並確實執行
</t>
    </r>
    <r>
      <rPr>
        <sz val="10"/>
        <rFont val="Arial"/>
        <charset val="1"/>
      </rPr>
      <t>2.</t>
    </r>
    <r>
      <rPr>
        <sz val="10"/>
        <rFont val="DejaVu Sans"/>
        <charset val="134"/>
      </rPr>
      <t xml:space="preserve">如有發生跌倒案件應逐案分析、處置
</t>
    </r>
    <r>
      <rPr>
        <sz val="10"/>
        <rFont val="Arial"/>
        <charset val="1"/>
      </rPr>
      <t>3.</t>
    </r>
    <r>
      <rPr>
        <sz val="10"/>
        <rFont val="DejaVu Sans"/>
        <charset val="134"/>
      </rPr>
      <t xml:space="preserve">針對服務對象跌倒有跌倒監測紀錄，且紀錄完整
</t>
    </r>
    <r>
      <rPr>
        <sz val="10"/>
        <rFont val="Arial"/>
        <charset val="1"/>
      </rPr>
      <t>4.</t>
    </r>
    <r>
      <rPr>
        <sz val="10"/>
        <rFont val="DejaVu Sans"/>
        <charset val="134"/>
      </rPr>
      <t>定期</t>
    </r>
    <r>
      <rPr>
        <sz val="10"/>
        <rFont val="Arial"/>
        <charset val="1"/>
      </rPr>
      <t>(</t>
    </r>
    <r>
      <rPr>
        <sz val="10"/>
        <rFont val="DejaVu Sans"/>
        <charset val="134"/>
      </rPr>
      <t>至少每半年</t>
    </r>
    <r>
      <rPr>
        <sz val="10"/>
        <rFont val="Arial"/>
        <charset val="1"/>
      </rPr>
      <t>)</t>
    </r>
    <r>
      <rPr>
        <sz val="10"/>
        <rFont val="DejaVu Sans"/>
        <charset val="134"/>
      </rPr>
      <t>進行分析，檢討並有改善方案</t>
    </r>
  </si>
  <si>
    <t>跌倒預防評估辦法及流程、跌倒事件處理紀錄、跌倒監測紀錄、半年分析及改善方案</t>
  </si>
  <si>
    <t>B14</t>
  </si>
  <si>
    <t>服務對象壓力性損傷預防、處理及監測情形</t>
  </si>
  <si>
    <r>
      <rPr>
        <sz val="10"/>
        <rFont val="Arial"/>
        <charset val="1"/>
      </rPr>
      <t>1.</t>
    </r>
    <r>
      <rPr>
        <sz val="10"/>
        <rFont val="DejaVu Sans"/>
        <charset val="134"/>
      </rPr>
      <t xml:space="preserve">訂有服務對象壓力性損傷預防評估措施、處理辦法及流程，並確實執行
</t>
    </r>
    <r>
      <rPr>
        <sz val="10"/>
        <rFont val="Arial"/>
        <charset val="1"/>
      </rPr>
      <t>2.</t>
    </r>
    <r>
      <rPr>
        <sz val="10"/>
        <rFont val="DejaVu Sans"/>
        <charset val="134"/>
      </rPr>
      <t xml:space="preserve">如有發生壓力性損傷案件應逐案分析、處置
</t>
    </r>
    <r>
      <rPr>
        <sz val="10"/>
        <rFont val="Arial"/>
        <charset val="1"/>
      </rPr>
      <t>3.</t>
    </r>
    <r>
      <rPr>
        <sz val="10"/>
        <rFont val="DejaVu Sans"/>
        <charset val="134"/>
      </rPr>
      <t xml:space="preserve">針對服務對象壓力性損傷有監測紀錄，且紀錄完整
</t>
    </r>
    <r>
      <rPr>
        <sz val="10"/>
        <rFont val="Arial"/>
        <charset val="1"/>
      </rPr>
      <t>4.</t>
    </r>
    <r>
      <rPr>
        <sz val="10"/>
        <rFont val="DejaVu Sans"/>
        <charset val="134"/>
      </rPr>
      <t>定期</t>
    </r>
    <r>
      <rPr>
        <sz val="10"/>
        <rFont val="Arial"/>
        <charset val="1"/>
      </rPr>
      <t>(</t>
    </r>
    <r>
      <rPr>
        <sz val="10"/>
        <rFont val="DejaVu Sans"/>
        <charset val="134"/>
      </rPr>
      <t>每季</t>
    </r>
    <r>
      <rPr>
        <sz val="10"/>
        <rFont val="Arial"/>
        <charset val="1"/>
      </rPr>
      <t>)</t>
    </r>
    <r>
      <rPr>
        <sz val="10"/>
        <rFont val="DejaVu Sans"/>
        <charset val="134"/>
      </rPr>
      <t>進行分析，檢討並有改善方案</t>
    </r>
  </si>
  <si>
    <t>壓力性損傷預防評估辦法及流程、事件處理紀錄、監測紀錄、每季分析及改善方案</t>
  </si>
  <si>
    <t>B15</t>
  </si>
  <si>
    <t>服務對象疼痛偵測與處置情形</t>
  </si>
  <si>
    <r>
      <rPr>
        <sz val="10"/>
        <rFont val="Arial"/>
        <charset val="1"/>
      </rPr>
      <t>1.</t>
    </r>
    <r>
      <rPr>
        <sz val="10"/>
        <rFont val="DejaVu Sans"/>
        <charset val="134"/>
      </rPr>
      <t xml:space="preserve">訂有符合服務對象年齡及能力之疼痛評估措施、處理辦法及流程
</t>
    </r>
    <r>
      <rPr>
        <sz val="10"/>
        <rFont val="Arial"/>
        <charset val="1"/>
      </rPr>
      <t>2.</t>
    </r>
    <r>
      <rPr>
        <sz val="10"/>
        <rFont val="DejaVu Sans"/>
        <charset val="134"/>
      </rPr>
      <t>納入生命徵象評估，若有疼痛應進行持續性評估</t>
    </r>
    <r>
      <rPr>
        <sz val="10"/>
        <rFont val="Arial"/>
        <charset val="1"/>
      </rPr>
      <t>(</t>
    </r>
    <r>
      <rPr>
        <sz val="10"/>
        <rFont val="DejaVu Sans"/>
        <charset val="134"/>
      </rPr>
      <t>含疼痛開始時間、位置、嚴重度、持續時間、緩解及加重因素</t>
    </r>
    <r>
      <rPr>
        <sz val="10"/>
        <rFont val="Arial"/>
        <charset val="1"/>
      </rPr>
      <t>)
3.</t>
    </r>
    <r>
      <rPr>
        <sz val="10"/>
        <rFont val="DejaVu Sans"/>
        <charset val="134"/>
      </rPr>
      <t xml:space="preserve">確實執行與記錄疼痛處置與反應
</t>
    </r>
    <r>
      <rPr>
        <sz val="10"/>
        <rFont val="Arial"/>
        <charset val="1"/>
      </rPr>
      <t>4.</t>
    </r>
    <r>
      <rPr>
        <sz val="10"/>
        <rFont val="DejaVu Sans"/>
        <charset val="134"/>
      </rPr>
      <t>依評值結果修正處置措施</t>
    </r>
  </si>
  <si>
    <t>疼痛評估辦法及流程、疼痛評估紀錄、處置與反應紀錄</t>
  </si>
  <si>
    <t>B16</t>
  </si>
  <si>
    <t>服務對象約束處理及監測情形</t>
  </si>
  <si>
    <r>
      <rPr>
        <sz val="10"/>
        <rFont val="Arial"/>
        <charset val="1"/>
      </rPr>
      <t>1.</t>
    </r>
    <r>
      <rPr>
        <sz val="10"/>
        <rFont val="DejaVu Sans"/>
        <charset val="134"/>
      </rPr>
      <t xml:space="preserve">訂有服務對象約束處理辦法及流程，並確實執行
</t>
    </r>
    <r>
      <rPr>
        <sz val="10"/>
        <rFont val="Arial"/>
        <charset val="1"/>
      </rPr>
      <t>2.</t>
    </r>
    <r>
      <rPr>
        <sz val="10"/>
        <rFont val="DejaVu Sans"/>
        <charset val="134"/>
      </rPr>
      <t xml:space="preserve">須經醫師診斷或護理人員專業判斷，並有個別化評估
</t>
    </r>
    <r>
      <rPr>
        <sz val="10"/>
        <rFont val="Arial"/>
        <charset val="1"/>
      </rPr>
      <t>3.</t>
    </r>
    <r>
      <rPr>
        <sz val="10"/>
        <rFont val="DejaVu Sans"/>
        <charset val="134"/>
      </rPr>
      <t>有服務對象、家屬或委託人之同意書</t>
    </r>
    <r>
      <rPr>
        <sz val="10"/>
        <rFont val="Arial"/>
        <charset val="1"/>
      </rPr>
      <t>(</t>
    </r>
    <r>
      <rPr>
        <sz val="10"/>
        <rFont val="DejaVu Sans"/>
        <charset val="134"/>
      </rPr>
      <t>自簽訂日起</t>
    </r>
    <r>
      <rPr>
        <sz val="10"/>
        <rFont val="Arial"/>
        <charset val="1"/>
      </rPr>
      <t>3</t>
    </r>
    <r>
      <rPr>
        <sz val="10"/>
        <rFont val="DejaVu Sans"/>
        <charset val="134"/>
      </rPr>
      <t>個月內有效</t>
    </r>
    <r>
      <rPr>
        <sz val="10"/>
        <rFont val="Arial"/>
        <charset val="1"/>
      </rPr>
      <t>)
4.</t>
    </r>
    <r>
      <rPr>
        <sz val="10"/>
        <rFont val="DejaVu Sans"/>
        <charset val="134"/>
      </rPr>
      <t xml:space="preserve">約束過程中並應隨時監測且有完整紀錄
</t>
    </r>
    <r>
      <rPr>
        <sz val="10"/>
        <rFont val="Arial"/>
        <charset val="1"/>
      </rPr>
      <t>5.</t>
    </r>
    <r>
      <rPr>
        <sz val="10"/>
        <rFont val="DejaVu Sans"/>
        <charset val="134"/>
      </rPr>
      <t>無不當約束</t>
    </r>
  </si>
  <si>
    <r>
      <rPr>
        <sz val="10"/>
        <rFont val="DejaVu Sans"/>
        <charset val="134"/>
      </rPr>
      <t>約束處理辦法及流程、醫師</t>
    </r>
    <r>
      <rPr>
        <sz val="10"/>
        <rFont val="Arial"/>
        <charset val="1"/>
      </rPr>
      <t>/</t>
    </r>
    <r>
      <rPr>
        <sz val="10"/>
        <rFont val="DejaVu Sans"/>
        <charset val="134"/>
      </rPr>
      <t>護理評估紀錄、約束同意書、約束監測紀錄</t>
    </r>
  </si>
  <si>
    <t>B17</t>
  </si>
  <si>
    <t>服務對象感染預防、處理及監測情形</t>
  </si>
  <si>
    <r>
      <rPr>
        <sz val="10"/>
        <rFont val="DejaVu Sans"/>
        <charset val="134"/>
      </rPr>
      <t>護</t>
    </r>
    <r>
      <rPr>
        <sz val="10"/>
        <rFont val="Arial"/>
        <charset val="1"/>
      </rPr>
      <t>B</t>
    </r>
  </si>
  <si>
    <r>
      <rPr>
        <sz val="10"/>
        <rFont val="Arial"/>
        <charset val="1"/>
      </rPr>
      <t>1.</t>
    </r>
    <r>
      <rPr>
        <sz val="10"/>
        <rFont val="DejaVu Sans"/>
        <charset val="134"/>
      </rPr>
      <t>訂有皮膚傳染病</t>
    </r>
    <r>
      <rPr>
        <sz val="10"/>
        <rFont val="Arial"/>
        <charset val="1"/>
      </rPr>
      <t>(</t>
    </r>
    <r>
      <rPr>
        <sz val="10"/>
        <rFont val="DejaVu Sans"/>
        <charset val="134"/>
      </rPr>
      <t>至少包括疥瘡</t>
    </r>
    <r>
      <rPr>
        <sz val="10"/>
        <rFont val="Arial"/>
        <charset val="1"/>
      </rPr>
      <t>)</t>
    </r>
    <r>
      <rPr>
        <sz val="10"/>
        <rFont val="DejaVu Sans"/>
        <charset val="134"/>
      </rPr>
      <t xml:space="preserve">、呼吸道傳染病、腸道傳染病、不明原因發燒等疑似感染個案及群聚感染事件評估及監測措施、處理辦法及流程
</t>
    </r>
    <r>
      <rPr>
        <sz val="10"/>
        <rFont val="Arial"/>
        <charset val="1"/>
      </rPr>
      <t>2.</t>
    </r>
    <r>
      <rPr>
        <sz val="10"/>
        <rFont val="DejaVu Sans"/>
        <charset val="134"/>
      </rPr>
      <t xml:space="preserve">如有發生感染案件，應逐案分析、處置
</t>
    </r>
    <r>
      <rPr>
        <sz val="10"/>
        <rFont val="Arial"/>
        <charset val="1"/>
      </rPr>
      <t>3.</t>
    </r>
    <r>
      <rPr>
        <sz val="10"/>
        <rFont val="DejaVu Sans"/>
        <charset val="134"/>
      </rPr>
      <t xml:space="preserve">針對服務對象感染有監測紀錄，且紀錄完整
</t>
    </r>
    <r>
      <rPr>
        <sz val="10"/>
        <rFont val="Arial"/>
        <charset val="1"/>
      </rPr>
      <t>4.</t>
    </r>
    <r>
      <rPr>
        <sz val="10"/>
        <rFont val="DejaVu Sans"/>
        <charset val="134"/>
      </rPr>
      <t>定期</t>
    </r>
    <r>
      <rPr>
        <sz val="10"/>
        <rFont val="Arial"/>
        <charset val="1"/>
      </rPr>
      <t>(</t>
    </r>
    <r>
      <rPr>
        <sz val="10"/>
        <rFont val="DejaVu Sans"/>
        <charset val="134"/>
      </rPr>
      <t>至少每半年</t>
    </r>
    <r>
      <rPr>
        <sz val="10"/>
        <rFont val="Arial"/>
        <charset val="1"/>
      </rPr>
      <t>)</t>
    </r>
    <r>
      <rPr>
        <sz val="10"/>
        <rFont val="DejaVu Sans"/>
        <charset val="134"/>
      </rPr>
      <t>進行分析、檢討防疫作為及改善標準作業流程措施</t>
    </r>
  </si>
  <si>
    <t>感染預防處理辦法及流程、感染事件處理紀錄、監測紀錄、半年分析改善紀錄</t>
  </si>
  <si>
    <t>B18</t>
  </si>
  <si>
    <t>服務對象非計畫性住院處理及監測情形</t>
  </si>
  <si>
    <r>
      <rPr>
        <sz val="10"/>
        <rFont val="Arial"/>
        <charset val="1"/>
      </rPr>
      <t>1.</t>
    </r>
    <r>
      <rPr>
        <sz val="10"/>
        <rFont val="DejaVu Sans"/>
        <charset val="134"/>
      </rPr>
      <t xml:space="preserve">訂有服務對象非計畫性住院處理辦法及流程，並確實執行
</t>
    </r>
    <r>
      <rPr>
        <sz val="10"/>
        <rFont val="Arial"/>
        <charset val="1"/>
      </rPr>
      <t>2.</t>
    </r>
    <r>
      <rPr>
        <sz val="10"/>
        <rFont val="DejaVu Sans"/>
        <charset val="134"/>
      </rPr>
      <t xml:space="preserve">如有發生非計畫性住院案件，應逐案分析、處置
</t>
    </r>
    <r>
      <rPr>
        <sz val="10"/>
        <rFont val="Arial"/>
        <charset val="1"/>
      </rPr>
      <t>3.</t>
    </r>
    <r>
      <rPr>
        <sz val="10"/>
        <rFont val="DejaVu Sans"/>
        <charset val="134"/>
      </rPr>
      <t xml:space="preserve">針對服務對象有非計畫性住院監測紀錄，且紀錄完整
</t>
    </r>
    <r>
      <rPr>
        <sz val="10"/>
        <rFont val="Arial"/>
        <charset val="1"/>
      </rPr>
      <t>4.</t>
    </r>
    <r>
      <rPr>
        <sz val="10"/>
        <rFont val="DejaVu Sans"/>
        <charset val="134"/>
      </rPr>
      <t>定期</t>
    </r>
    <r>
      <rPr>
        <sz val="10"/>
        <rFont val="Arial"/>
        <charset val="1"/>
      </rPr>
      <t>(</t>
    </r>
    <r>
      <rPr>
        <sz val="10"/>
        <rFont val="DejaVu Sans"/>
        <charset val="134"/>
      </rPr>
      <t>每季</t>
    </r>
    <r>
      <rPr>
        <sz val="10"/>
        <rFont val="Arial"/>
        <charset val="1"/>
      </rPr>
      <t>)</t>
    </r>
    <r>
      <rPr>
        <sz val="10"/>
        <rFont val="DejaVu Sans"/>
        <charset val="134"/>
      </rPr>
      <t>進行分析、檢討並有改善方案</t>
    </r>
  </si>
  <si>
    <t>非計畫性住院處理辦法及流程、事件分析處置紀錄、監測紀錄、每季分析改善方案</t>
  </si>
  <si>
    <t>B19</t>
  </si>
  <si>
    <t>服務對象非計畫性體重改變處理及監測情形</t>
  </si>
  <si>
    <r>
      <rPr>
        <sz val="10"/>
        <rFont val="Arial"/>
        <charset val="1"/>
      </rPr>
      <t>1.</t>
    </r>
    <r>
      <rPr>
        <sz val="10"/>
        <rFont val="DejaVu Sans"/>
        <charset val="134"/>
      </rPr>
      <t xml:space="preserve">訂有服務對象非計畫性體重改變處理辦法及流程，並確實執行
</t>
    </r>
    <r>
      <rPr>
        <sz val="10"/>
        <rFont val="Arial"/>
        <charset val="1"/>
      </rPr>
      <t>2.</t>
    </r>
    <r>
      <rPr>
        <sz val="10"/>
        <rFont val="DejaVu Sans"/>
        <charset val="134"/>
      </rPr>
      <t>如有發生非計畫性體重改變案件</t>
    </r>
    <r>
      <rPr>
        <sz val="10"/>
        <rFont val="Arial"/>
        <charset val="1"/>
      </rPr>
      <t>(30</t>
    </r>
    <r>
      <rPr>
        <sz val="10"/>
        <rFont val="DejaVu Sans"/>
        <charset val="134"/>
      </rPr>
      <t>天內體重改變</t>
    </r>
    <r>
      <rPr>
        <sz val="10"/>
        <rFont val="Arial"/>
        <charset val="1"/>
      </rPr>
      <t>±5%</t>
    </r>
    <r>
      <rPr>
        <sz val="10"/>
        <rFont val="DejaVu Sans"/>
        <charset val="134"/>
      </rPr>
      <t>以上</t>
    </r>
    <r>
      <rPr>
        <sz val="10"/>
        <rFont val="Arial"/>
        <charset val="1"/>
      </rPr>
      <t>)</t>
    </r>
    <r>
      <rPr>
        <sz val="10"/>
        <rFont val="DejaVu Sans"/>
        <charset val="134"/>
      </rPr>
      <t xml:space="preserve">，應逐案分析、處置
</t>
    </r>
    <r>
      <rPr>
        <sz val="10"/>
        <rFont val="Arial"/>
        <charset val="1"/>
      </rPr>
      <t>3.</t>
    </r>
    <r>
      <rPr>
        <sz val="10"/>
        <rFont val="DejaVu Sans"/>
        <charset val="134"/>
      </rPr>
      <t xml:space="preserve">針對服務對象有非計畫性體重改變監測紀錄，且紀錄完整
</t>
    </r>
    <r>
      <rPr>
        <sz val="10"/>
        <rFont val="Arial"/>
        <charset val="1"/>
      </rPr>
      <t>4.</t>
    </r>
    <r>
      <rPr>
        <sz val="10"/>
        <rFont val="DejaVu Sans"/>
        <charset val="134"/>
      </rPr>
      <t>定期</t>
    </r>
    <r>
      <rPr>
        <sz val="10"/>
        <rFont val="Arial"/>
        <charset val="1"/>
      </rPr>
      <t>(</t>
    </r>
    <r>
      <rPr>
        <sz val="10"/>
        <rFont val="DejaVu Sans"/>
        <charset val="134"/>
      </rPr>
      <t>至少每半年</t>
    </r>
    <r>
      <rPr>
        <sz val="10"/>
        <rFont val="Arial"/>
        <charset val="1"/>
      </rPr>
      <t>)</t>
    </r>
    <r>
      <rPr>
        <sz val="10"/>
        <rFont val="DejaVu Sans"/>
        <charset val="134"/>
      </rPr>
      <t>進行分析、檢討並有改善方案</t>
    </r>
  </si>
  <si>
    <r>
      <rPr>
        <sz val="10"/>
        <rFont val="DejaVu Sans"/>
        <charset val="134"/>
      </rPr>
      <t>體重改變處理辦法及流程、體重監測紀錄</t>
    </r>
    <r>
      <rPr>
        <sz val="10"/>
        <rFont val="Arial"/>
        <charset val="1"/>
      </rPr>
      <t>(</t>
    </r>
    <r>
      <rPr>
        <sz val="10"/>
        <rFont val="DejaVu Sans"/>
        <charset val="134"/>
      </rPr>
      <t>每月至少</t>
    </r>
    <r>
      <rPr>
        <sz val="10"/>
        <rFont val="Arial"/>
        <charset val="1"/>
      </rPr>
      <t>1</t>
    </r>
    <r>
      <rPr>
        <sz val="10"/>
        <rFont val="DejaVu Sans"/>
        <charset val="134"/>
      </rPr>
      <t>次</t>
    </r>
    <r>
      <rPr>
        <sz val="10"/>
        <rFont val="Arial"/>
        <charset val="1"/>
      </rPr>
      <t>)</t>
    </r>
    <r>
      <rPr>
        <sz val="10"/>
        <rFont val="DejaVu Sans"/>
        <charset val="134"/>
      </rPr>
      <t>、分析改善方案</t>
    </r>
  </si>
  <si>
    <t>B20</t>
  </si>
  <si>
    <t>提供移除鼻胃管之增進照護計畫及執行情形</t>
  </si>
  <si>
    <r>
      <rPr>
        <sz val="10"/>
        <rFont val="Arial"/>
        <charset val="1"/>
      </rPr>
      <t>1.</t>
    </r>
    <r>
      <rPr>
        <sz val="10"/>
        <rFont val="DejaVu Sans"/>
        <charset val="134"/>
      </rPr>
      <t xml:space="preserve">訂有完整的作業規範與照護計畫
</t>
    </r>
    <r>
      <rPr>
        <sz val="10"/>
        <rFont val="Arial"/>
        <charset val="1"/>
      </rPr>
      <t>2.</t>
    </r>
    <r>
      <rPr>
        <sz val="10"/>
        <rFont val="DejaVu Sans"/>
        <charset val="134"/>
      </rPr>
      <t xml:space="preserve">確實依照護計畫執行，並有逐案服務紀錄
</t>
    </r>
    <r>
      <rPr>
        <sz val="10"/>
        <rFont val="Arial"/>
        <charset val="1"/>
      </rPr>
      <t>3.</t>
    </r>
    <r>
      <rPr>
        <sz val="10"/>
        <rFont val="DejaVu Sans"/>
        <charset val="134"/>
      </rPr>
      <t>執行成效有改善原機能問題</t>
    </r>
  </si>
  <si>
    <t>鼻胃管移除照護計畫、作業規範、逐案服務紀錄、成效評估</t>
  </si>
  <si>
    <t>B21</t>
  </si>
  <si>
    <t>提供移除導尿管機能增進的照護計畫及執行情形</t>
  </si>
  <si>
    <r>
      <rPr>
        <sz val="10"/>
        <rFont val="DejaVu Sans"/>
        <charset val="134"/>
      </rPr>
      <t>導尿管移除照護計畫、作業規範</t>
    </r>
    <r>
      <rPr>
        <sz val="10"/>
        <rFont val="Arial"/>
        <charset val="1"/>
      </rPr>
      <t>(</t>
    </r>
    <r>
      <rPr>
        <sz val="10"/>
        <rFont val="DejaVu Sans"/>
        <charset val="134"/>
      </rPr>
      <t>含膀胱訓練等</t>
    </r>
    <r>
      <rPr>
        <sz val="10"/>
        <rFont val="Arial"/>
        <charset val="1"/>
      </rPr>
      <t>)</t>
    </r>
    <r>
      <rPr>
        <sz val="10"/>
        <rFont val="DejaVu Sans"/>
        <charset val="134"/>
      </rPr>
      <t>、逐案服務紀錄、成效評估</t>
    </r>
  </si>
  <si>
    <t>B22</t>
  </si>
  <si>
    <t>工作人員及服務對象定期健康檢查及健康管理情形</t>
  </si>
  <si>
    <r>
      <rPr>
        <sz val="10"/>
        <rFont val="DejaVu Sans"/>
        <charset val="134"/>
      </rPr>
      <t>行政</t>
    </r>
    <r>
      <rPr>
        <sz val="10"/>
        <rFont val="Arial"/>
        <charset val="1"/>
      </rPr>
      <t>/</t>
    </r>
    <r>
      <rPr>
        <sz val="10"/>
        <rFont val="DejaVu Sans"/>
        <charset val="134"/>
      </rPr>
      <t>護</t>
    </r>
    <r>
      <rPr>
        <sz val="10"/>
        <rFont val="Arial"/>
        <charset val="1"/>
      </rPr>
      <t>A</t>
    </r>
  </si>
  <si>
    <r>
      <rPr>
        <sz val="10"/>
        <rFont val="Arial"/>
        <charset val="1"/>
      </rPr>
      <t>1.</t>
    </r>
    <r>
      <rPr>
        <sz val="10"/>
        <rFont val="DejaVu Sans"/>
        <charset val="134"/>
      </rPr>
      <t>工作人員到職前及服務對象入住前應完成健康檢查</t>
    </r>
    <r>
      <rPr>
        <sz val="10"/>
        <rFont val="Arial"/>
        <charset val="1"/>
      </rPr>
      <t>(</t>
    </r>
    <r>
      <rPr>
        <sz val="10"/>
        <rFont val="DejaVu Sans"/>
        <charset val="134"/>
      </rPr>
      <t>含胸部</t>
    </r>
    <r>
      <rPr>
        <sz val="10"/>
        <rFont val="Arial"/>
        <charset val="1"/>
      </rPr>
      <t>X</t>
    </r>
    <r>
      <rPr>
        <sz val="10"/>
        <rFont val="DejaVu Sans"/>
        <charset val="134"/>
      </rPr>
      <t>光、糞便檢查、血液常規及生化、尿液檢查等</t>
    </r>
    <r>
      <rPr>
        <sz val="10"/>
        <rFont val="Arial"/>
        <charset val="1"/>
      </rPr>
      <t>)
2.</t>
    </r>
    <r>
      <rPr>
        <sz val="10"/>
        <rFont val="DejaVu Sans"/>
        <charset val="134"/>
      </rPr>
      <t>在職工作人員及服務對象每年接受</t>
    </r>
    <r>
      <rPr>
        <sz val="10"/>
        <rFont val="Arial"/>
        <charset val="1"/>
      </rPr>
      <t>1</t>
    </r>
    <r>
      <rPr>
        <sz val="10"/>
        <rFont val="DejaVu Sans"/>
        <charset val="134"/>
      </rPr>
      <t xml:space="preserve">次健康檢查
</t>
    </r>
    <r>
      <rPr>
        <sz val="10"/>
        <rFont val="Arial"/>
        <charset val="1"/>
      </rPr>
      <t>3.</t>
    </r>
    <r>
      <rPr>
        <sz val="10"/>
        <rFont val="DejaVu Sans"/>
        <charset val="134"/>
      </rPr>
      <t>廚工及供膳人員另須增加</t>
    </r>
    <r>
      <rPr>
        <sz val="10"/>
        <rFont val="Arial"/>
        <charset val="1"/>
      </rPr>
      <t>A</t>
    </r>
    <r>
      <rPr>
        <sz val="10"/>
        <rFont val="DejaVu Sans"/>
        <charset val="134"/>
      </rPr>
      <t>型肝炎、傷寒</t>
    </r>
    <r>
      <rPr>
        <sz val="10"/>
        <rFont val="Arial"/>
        <charset val="1"/>
      </rPr>
      <t>(</t>
    </r>
    <r>
      <rPr>
        <sz val="10"/>
        <rFont val="DejaVu Sans"/>
        <charset val="134"/>
      </rPr>
      <t>糞便</t>
    </r>
    <r>
      <rPr>
        <sz val="10"/>
        <rFont val="Arial"/>
        <charset val="1"/>
      </rPr>
      <t>)</t>
    </r>
    <r>
      <rPr>
        <sz val="10"/>
        <rFont val="DejaVu Sans"/>
        <charset val="134"/>
      </rPr>
      <t xml:space="preserve">及寄生蟲檢查
</t>
    </r>
    <r>
      <rPr>
        <sz val="10"/>
        <rFont val="Arial"/>
        <charset val="1"/>
      </rPr>
      <t>4.</t>
    </r>
    <r>
      <rPr>
        <sz val="10"/>
        <rFont val="DejaVu Sans"/>
        <charset val="134"/>
      </rPr>
      <t>針對個別檢查結果進行追蹤處理與個案管理</t>
    </r>
  </si>
  <si>
    <t>健康檢查報告書、檢查結果追蹤處理紀錄</t>
  </si>
  <si>
    <t>B23</t>
  </si>
  <si>
    <t>侵入性照護之執行情形</t>
  </si>
  <si>
    <r>
      <rPr>
        <sz val="10"/>
        <rFont val="Arial"/>
        <charset val="1"/>
      </rPr>
      <t>1.</t>
    </r>
    <r>
      <rPr>
        <sz val="10"/>
        <rFont val="DejaVu Sans"/>
        <charset val="134"/>
      </rPr>
      <t xml:space="preserve">訂有抽痰、換藥、換管路等侵入性照護技術之照護標準作業流程，並由護理人員執行
</t>
    </r>
    <r>
      <rPr>
        <sz val="10"/>
        <rFont val="Arial"/>
        <charset val="1"/>
      </rPr>
      <t>2.</t>
    </r>
    <r>
      <rPr>
        <sz val="10"/>
        <rFont val="DejaVu Sans"/>
        <charset val="134"/>
      </rPr>
      <t xml:space="preserve">護理人員依標準作業流程執行且技術正確
</t>
    </r>
    <r>
      <rPr>
        <sz val="10"/>
        <rFont val="Arial"/>
        <charset val="1"/>
      </rPr>
      <t>3.</t>
    </r>
    <r>
      <rPr>
        <sz val="10"/>
        <rFont val="DejaVu Sans"/>
        <charset val="134"/>
      </rPr>
      <t xml:space="preserve">定期稽核侵入性照護技術之正確性
</t>
    </r>
    <r>
      <rPr>
        <sz val="10"/>
        <rFont val="Arial"/>
        <charset val="1"/>
      </rPr>
      <t>4.</t>
    </r>
    <r>
      <rPr>
        <sz val="10"/>
        <rFont val="DejaVu Sans"/>
        <charset val="134"/>
      </rPr>
      <t>依稽核結果，有檢討及改善措施</t>
    </r>
  </si>
  <si>
    <r>
      <rPr>
        <sz val="10"/>
        <rFont val="DejaVu Sans"/>
        <charset val="134"/>
      </rPr>
      <t>侵入性照護</t>
    </r>
    <r>
      <rPr>
        <sz val="10"/>
        <rFont val="Arial"/>
        <charset val="1"/>
      </rPr>
      <t>SOP</t>
    </r>
    <r>
      <rPr>
        <sz val="10"/>
        <rFont val="DejaVu Sans"/>
        <charset val="134"/>
      </rPr>
      <t>、稽核紀錄、改善措施紀錄</t>
    </r>
  </si>
  <si>
    <t>B24</t>
  </si>
  <si>
    <t>提供緊急送醫服務情形</t>
  </si>
  <si>
    <r>
      <rPr>
        <sz val="10"/>
        <rFont val="Arial"/>
        <charset val="1"/>
      </rPr>
      <t>1.</t>
    </r>
    <r>
      <rPr>
        <sz val="10"/>
        <rFont val="DejaVu Sans"/>
        <charset val="134"/>
      </rPr>
      <t xml:space="preserve">訂有緊急送醫辦法及流程，並有明確之醫療資源網絡
</t>
    </r>
    <r>
      <rPr>
        <sz val="10"/>
        <rFont val="Arial"/>
        <charset val="1"/>
      </rPr>
      <t>2.</t>
    </r>
    <r>
      <rPr>
        <sz val="10"/>
        <rFont val="DejaVu Sans"/>
        <charset val="134"/>
      </rPr>
      <t xml:space="preserve">送醫前視需要提供必要之急救措施
</t>
    </r>
    <r>
      <rPr>
        <sz val="10"/>
        <rFont val="Arial"/>
        <charset val="1"/>
      </rPr>
      <t>3.</t>
    </r>
    <r>
      <rPr>
        <sz val="10"/>
        <rFont val="DejaVu Sans"/>
        <charset val="134"/>
      </rPr>
      <t xml:space="preserve">服務單位備有緊急送醫器之交通工具或有救護車合作契約
</t>
    </r>
    <r>
      <rPr>
        <sz val="10"/>
        <rFont val="Arial"/>
        <charset val="1"/>
      </rPr>
      <t>4.</t>
    </r>
    <r>
      <rPr>
        <sz val="10"/>
        <rFont val="DejaVu Sans"/>
        <charset val="134"/>
      </rPr>
      <t xml:space="preserve">緊急就醫服務之紀錄完整
</t>
    </r>
    <r>
      <rPr>
        <sz val="10"/>
        <rFont val="Arial"/>
        <charset val="1"/>
      </rPr>
      <t>5.</t>
    </r>
    <r>
      <rPr>
        <sz val="10"/>
        <rFont val="DejaVu Sans"/>
        <charset val="134"/>
      </rPr>
      <t>與家屬即時聯繫之紀錄</t>
    </r>
  </si>
  <si>
    <t>緊急送醫辦法及流程、救護車合約、緊急就醫服務紀錄、家屬聯繫紀錄</t>
  </si>
  <si>
    <t>B25</t>
  </si>
  <si>
    <t>服務對象及工作人員接受疫苗注射情形</t>
  </si>
  <si>
    <r>
      <rPr>
        <sz val="10"/>
        <rFont val="Arial"/>
        <charset val="1"/>
      </rPr>
      <t>1.</t>
    </r>
    <r>
      <rPr>
        <sz val="10"/>
        <rFont val="DejaVu Sans"/>
        <charset val="134"/>
      </rPr>
      <t xml:space="preserve">依規定繕造、提報流感疫苗等預防接種名冊，並配合政策施打疫苗
</t>
    </r>
    <r>
      <rPr>
        <sz val="10"/>
        <rFont val="Arial"/>
        <charset val="1"/>
      </rPr>
      <t>2.</t>
    </r>
    <r>
      <rPr>
        <sz val="10"/>
        <rFont val="DejaVu Sans"/>
        <charset val="134"/>
      </rPr>
      <t>具有鼓勵服務對象與工作人員接種疫苗之策略</t>
    </r>
  </si>
  <si>
    <r>
      <rPr>
        <sz val="10"/>
        <rFont val="DejaVu Sans"/>
        <charset val="134"/>
      </rPr>
      <t>疫苗接種紀錄清冊</t>
    </r>
    <r>
      <rPr>
        <sz val="10"/>
        <rFont val="Arial"/>
        <charset val="1"/>
      </rPr>
      <t>(</t>
    </r>
    <r>
      <rPr>
        <sz val="10"/>
        <rFont val="DejaVu Sans"/>
        <charset val="134"/>
      </rPr>
      <t>含施打日期及施打與否</t>
    </r>
    <r>
      <rPr>
        <sz val="10"/>
        <rFont val="Arial"/>
        <charset val="1"/>
      </rPr>
      <t>)</t>
    </r>
  </si>
  <si>
    <t>B26</t>
  </si>
  <si>
    <t>提供服務對象日常活動情形</t>
  </si>
  <si>
    <r>
      <rPr>
        <sz val="10"/>
        <rFont val="Arial"/>
        <charset val="1"/>
      </rPr>
      <t>1.</t>
    </r>
    <r>
      <rPr>
        <sz val="10"/>
        <rFont val="DejaVu Sans"/>
        <charset val="134"/>
      </rPr>
      <t>提供服務對象下床及安全評估，並協助每位可移動服務對象每天至少下床</t>
    </r>
    <r>
      <rPr>
        <sz val="10"/>
        <rFont val="Arial"/>
        <charset val="1"/>
      </rPr>
      <t>2</t>
    </r>
    <r>
      <rPr>
        <sz val="10"/>
        <rFont val="DejaVu Sans"/>
        <charset val="134"/>
      </rPr>
      <t xml:space="preserve">次
</t>
    </r>
    <r>
      <rPr>
        <sz val="10"/>
        <rFont val="Arial"/>
        <charset val="1"/>
      </rPr>
      <t>2.</t>
    </r>
    <r>
      <rPr>
        <sz val="10"/>
        <rFont val="DejaVu Sans"/>
        <charset val="134"/>
      </rPr>
      <t xml:space="preserve">為利用服務對象下床活動，應使用符合個別需求及維護身體功能之輔具
</t>
    </r>
    <r>
      <rPr>
        <sz val="10"/>
        <rFont val="Arial"/>
        <charset val="1"/>
      </rPr>
      <t>3.</t>
    </r>
    <r>
      <rPr>
        <sz val="10"/>
        <rFont val="DejaVu Sans"/>
        <charset val="134"/>
      </rPr>
      <t>針對重度失能服務對象，照顧者依據物理</t>
    </r>
    <r>
      <rPr>
        <sz val="10"/>
        <rFont val="Arial"/>
        <charset val="1"/>
      </rPr>
      <t>/</t>
    </r>
    <r>
      <rPr>
        <sz val="10"/>
        <rFont val="DejaVu Sans"/>
        <charset val="134"/>
      </rPr>
      <t xml:space="preserve">職能治療師專業評估每日提供簡易被動式肢體活動
</t>
    </r>
    <r>
      <rPr>
        <sz val="10"/>
        <rFont val="Arial"/>
        <charset val="1"/>
      </rPr>
      <t>4.</t>
    </r>
    <r>
      <rPr>
        <sz val="10"/>
        <rFont val="DejaVu Sans"/>
        <charset val="134"/>
      </rPr>
      <t>依重度失能服務對象需求提供規律或有計畫性之感官刺激、認知功能訓練</t>
    </r>
  </si>
  <si>
    <r>
      <rPr>
        <sz val="10"/>
        <rFont val="DejaVu Sans"/>
        <charset val="134"/>
      </rPr>
      <t>下床活動紀錄、輔具使用紀錄、被動式肢體活動紀錄、感官刺激</t>
    </r>
    <r>
      <rPr>
        <sz val="10"/>
        <rFont val="Arial"/>
        <charset val="1"/>
      </rPr>
      <t>/</t>
    </r>
    <r>
      <rPr>
        <sz val="10"/>
        <rFont val="DejaVu Sans"/>
        <charset val="134"/>
      </rPr>
      <t>認知訓練紀錄</t>
    </r>
  </si>
  <si>
    <t>B27</t>
  </si>
  <si>
    <r>
      <rPr>
        <sz val="10"/>
        <rFont val="DejaVu Sans"/>
        <charset val="134"/>
      </rPr>
      <t>提供服務對象清潔</t>
    </r>
    <r>
      <rPr>
        <sz val="10"/>
        <rFont val="Arial"/>
        <charset val="1"/>
      </rPr>
      <t>(</t>
    </r>
    <r>
      <rPr>
        <sz val="10"/>
        <rFont val="DejaVu Sans"/>
        <charset val="134"/>
      </rPr>
      <t>含身體、寢具及衣物</t>
    </r>
    <r>
      <rPr>
        <sz val="10"/>
        <rFont val="Arial"/>
        <charset val="1"/>
      </rPr>
      <t>)</t>
    </r>
    <r>
      <rPr>
        <sz val="10"/>
        <rFont val="DejaVu Sans"/>
        <charset val="134"/>
      </rPr>
      <t>及翻身拍背服務情形</t>
    </r>
  </si>
  <si>
    <r>
      <rPr>
        <sz val="10"/>
        <rFont val="Arial"/>
        <charset val="1"/>
      </rPr>
      <t>1.</t>
    </r>
    <r>
      <rPr>
        <sz val="10"/>
        <rFont val="DejaVu Sans"/>
        <charset val="134"/>
      </rPr>
      <t>每日整理服務對象之儀容，提供足夠及清潔之寢具及衣物，並每週至少洗澡</t>
    </r>
    <r>
      <rPr>
        <sz val="10"/>
        <rFont val="Arial"/>
        <charset val="1"/>
      </rPr>
      <t>2</t>
    </r>
    <r>
      <rPr>
        <sz val="10"/>
        <rFont val="DejaVu Sans"/>
        <charset val="134"/>
      </rPr>
      <t>次</t>
    </r>
    <r>
      <rPr>
        <sz val="10"/>
        <rFont val="Arial"/>
        <charset val="1"/>
      </rPr>
      <t>(</t>
    </r>
    <r>
      <rPr>
        <sz val="10"/>
        <rFont val="DejaVu Sans"/>
        <charset val="134"/>
      </rPr>
      <t>夏天每週至少洗澡</t>
    </r>
    <r>
      <rPr>
        <sz val="10"/>
        <rFont val="Arial"/>
        <charset val="1"/>
      </rPr>
      <t>3</t>
    </r>
    <r>
      <rPr>
        <sz val="10"/>
        <rFont val="DejaVu Sans"/>
        <charset val="134"/>
      </rPr>
      <t>次</t>
    </r>
    <r>
      <rPr>
        <sz val="10"/>
        <rFont val="Arial"/>
        <charset val="1"/>
      </rPr>
      <t>)
2.</t>
    </r>
    <r>
      <rPr>
        <sz val="10"/>
        <rFont val="DejaVu Sans"/>
        <charset val="134"/>
      </rPr>
      <t>協助臥床服務對象，至少每</t>
    </r>
    <r>
      <rPr>
        <sz val="10"/>
        <rFont val="Arial"/>
        <charset val="1"/>
      </rPr>
      <t>2</t>
    </r>
    <r>
      <rPr>
        <sz val="10"/>
        <rFont val="DejaVu Sans"/>
        <charset val="134"/>
      </rPr>
      <t xml:space="preserve">小時正確執行翻身拍背，且翻身擺位正確
</t>
    </r>
    <r>
      <rPr>
        <sz val="10"/>
        <rFont val="Arial"/>
        <charset val="1"/>
      </rPr>
      <t>3.</t>
    </r>
    <r>
      <rPr>
        <sz val="10"/>
        <rFont val="DejaVu Sans"/>
        <charset val="134"/>
      </rPr>
      <t>尊重服務對象個人之裝扮</t>
    </r>
    <r>
      <rPr>
        <sz val="10"/>
        <rFont val="Arial"/>
        <charset val="1"/>
      </rPr>
      <t>(</t>
    </r>
    <r>
      <rPr>
        <sz val="10"/>
        <rFont val="DejaVu Sans"/>
        <charset val="134"/>
      </rPr>
      <t>如髮型、衣物配件等</t>
    </r>
    <r>
      <rPr>
        <sz val="10"/>
        <rFont val="Arial"/>
        <charset val="1"/>
      </rPr>
      <t>)
4.</t>
    </r>
    <r>
      <rPr>
        <sz val="10"/>
        <rFont val="DejaVu Sans"/>
        <charset val="134"/>
      </rPr>
      <t>紀錄內容與實際操作相符</t>
    </r>
  </si>
  <si>
    <r>
      <rPr>
        <sz val="10"/>
        <rFont val="DejaVu Sans"/>
        <charset val="134"/>
      </rPr>
      <t>洗澡</t>
    </r>
    <r>
      <rPr>
        <sz val="10"/>
        <rFont val="Arial"/>
        <charset val="1"/>
      </rPr>
      <t>/</t>
    </r>
    <r>
      <rPr>
        <sz val="10"/>
        <rFont val="DejaVu Sans"/>
        <charset val="134"/>
      </rPr>
      <t>清潔紀錄、翻身拍背紀錄、寢具清潔紀錄</t>
    </r>
  </si>
  <si>
    <t>B28</t>
  </si>
  <si>
    <t>提升服務對象自我照顧能力之促進及相關輔具運用情形</t>
  </si>
  <si>
    <r>
      <rPr>
        <sz val="10"/>
        <rFont val="DejaVu Sans"/>
        <charset val="134"/>
      </rPr>
      <t>護</t>
    </r>
    <r>
      <rPr>
        <sz val="10"/>
        <rFont val="Arial"/>
        <charset val="1"/>
      </rPr>
      <t>A/</t>
    </r>
    <r>
      <rPr>
        <sz val="10"/>
        <rFont val="DejaVu Sans"/>
        <charset val="134"/>
      </rPr>
      <t>社工</t>
    </r>
  </si>
  <si>
    <r>
      <rPr>
        <sz val="10"/>
        <rFont val="Arial"/>
        <charset val="1"/>
      </rPr>
      <t>1.</t>
    </r>
    <r>
      <rPr>
        <sz val="10"/>
        <rFont val="DejaVu Sans"/>
        <charset val="134"/>
      </rPr>
      <t xml:space="preserve">訂有協助及鼓勵服務對象增進自我照顧能力之辦法或策略
</t>
    </r>
    <r>
      <rPr>
        <sz val="10"/>
        <rFont val="Arial"/>
        <charset val="1"/>
      </rPr>
      <t>2.</t>
    </r>
    <r>
      <rPr>
        <sz val="10"/>
        <rFont val="DejaVu Sans"/>
        <charset val="134"/>
      </rPr>
      <t xml:space="preserve">依據評估結果擬訂個別性自我能力提升之照護計畫，並落實增加服務對象自我照顧能力之措施
</t>
    </r>
    <r>
      <rPr>
        <sz val="10"/>
        <rFont val="Arial"/>
        <charset val="1"/>
      </rPr>
      <t>3.</t>
    </r>
    <r>
      <rPr>
        <sz val="10"/>
        <rFont val="DejaVu Sans"/>
        <charset val="134"/>
      </rPr>
      <t xml:space="preserve">落實依服務對象需要提供各類適切、安全的生活輔具
</t>
    </r>
    <r>
      <rPr>
        <sz val="10"/>
        <rFont val="Arial"/>
        <charset val="1"/>
      </rPr>
      <t>4.</t>
    </r>
    <r>
      <rPr>
        <sz val="10"/>
        <rFont val="DejaVu Sans"/>
        <charset val="134"/>
      </rPr>
      <t xml:space="preserve">提供服務對象衛生保健及健康生活方式等衛教
</t>
    </r>
    <r>
      <rPr>
        <sz val="10"/>
        <rFont val="Arial"/>
        <charset val="1"/>
      </rPr>
      <t>5.</t>
    </r>
    <r>
      <rPr>
        <sz val="10"/>
        <rFont val="DejaVu Sans"/>
        <charset val="134"/>
      </rPr>
      <t>提供服務對象其他生活照顧服務</t>
    </r>
    <r>
      <rPr>
        <sz val="10"/>
        <rFont val="Arial"/>
        <charset val="1"/>
      </rPr>
      <t>(</t>
    </r>
    <r>
      <rPr>
        <sz val="10"/>
        <rFont val="DejaVu Sans"/>
        <charset val="134"/>
      </rPr>
      <t>含協助購物服務、郵電服務、陪同就醫、服藥提醒等</t>
    </r>
    <r>
      <rPr>
        <sz val="10"/>
        <rFont val="Arial"/>
        <charset val="1"/>
      </rPr>
      <t>)
6.</t>
    </r>
    <r>
      <rPr>
        <sz val="10"/>
        <rFont val="DejaVu Sans"/>
        <charset val="134"/>
      </rPr>
      <t>有電視、音響、影音等適當之康樂設備</t>
    </r>
  </si>
  <si>
    <t>自我照顧能力促進辦法、照護計畫、輔具使用紀錄、衛教紀錄、康樂設備清單</t>
  </si>
  <si>
    <t>B29</t>
  </si>
  <si>
    <t>服務對象膳食及菜單擬定情形</t>
  </si>
  <si>
    <r>
      <rPr>
        <sz val="10"/>
        <rFont val="Arial"/>
        <charset val="1"/>
      </rPr>
      <t>1.</t>
    </r>
    <r>
      <rPr>
        <sz val="10"/>
        <rFont val="DejaVu Sans"/>
        <charset val="134"/>
      </rPr>
      <t xml:space="preserve">菜單由專任或特約營養師擬定並提供營養、衛生且多變化之菜色
</t>
    </r>
    <r>
      <rPr>
        <sz val="10"/>
        <rFont val="Arial"/>
        <charset val="1"/>
      </rPr>
      <t>2.</t>
    </r>
    <r>
      <rPr>
        <sz val="10"/>
        <rFont val="DejaVu Sans"/>
        <charset val="134"/>
      </rPr>
      <t xml:space="preserve">依據住民之個別化需求，提供營養均衡原則
</t>
    </r>
    <r>
      <rPr>
        <sz val="10"/>
        <rFont val="Arial"/>
        <charset val="1"/>
      </rPr>
      <t>3.</t>
    </r>
    <r>
      <rPr>
        <sz val="10"/>
        <rFont val="DejaVu Sans"/>
        <charset val="134"/>
      </rPr>
      <t>提供至少</t>
    </r>
    <r>
      <rPr>
        <sz val="10"/>
        <rFont val="Arial"/>
        <charset val="1"/>
      </rPr>
      <t>2</t>
    </r>
    <r>
      <rPr>
        <sz val="10"/>
        <rFont val="DejaVu Sans"/>
        <charset val="134"/>
      </rPr>
      <t xml:space="preserve">星期之循環菜單，且與每日餐食相符
</t>
    </r>
    <r>
      <rPr>
        <sz val="10"/>
        <rFont val="Arial"/>
        <charset val="1"/>
      </rPr>
      <t>4.</t>
    </r>
    <r>
      <rPr>
        <sz val="10"/>
        <rFont val="DejaVu Sans"/>
        <charset val="134"/>
      </rPr>
      <t>每週至少提供</t>
    </r>
    <r>
      <rPr>
        <sz val="10"/>
        <rFont val="Arial"/>
        <charset val="1"/>
      </rPr>
      <t>1</t>
    </r>
    <r>
      <rPr>
        <sz val="10"/>
        <rFont val="DejaVu Sans"/>
        <charset val="134"/>
      </rPr>
      <t>次快樂餐</t>
    </r>
  </si>
  <si>
    <r>
      <rPr>
        <sz val="10"/>
        <rFont val="DejaVu Sans"/>
        <charset val="134"/>
      </rPr>
      <t>營養師聘用</t>
    </r>
    <r>
      <rPr>
        <sz val="10"/>
        <rFont val="Arial"/>
        <charset val="1"/>
      </rPr>
      <t>/</t>
    </r>
    <r>
      <rPr>
        <sz val="10"/>
        <rFont val="DejaVu Sans"/>
        <charset val="134"/>
      </rPr>
      <t>特約證明、循環菜單、菜單與實際供餐比對紀錄</t>
    </r>
  </si>
  <si>
    <t>B30</t>
  </si>
  <si>
    <t>提供個別化飲食情形</t>
  </si>
  <si>
    <r>
      <rPr>
        <sz val="10"/>
        <rFont val="Arial"/>
        <charset val="1"/>
      </rPr>
      <t>1.</t>
    </r>
    <r>
      <rPr>
        <sz val="10"/>
        <rFont val="DejaVu Sans"/>
        <charset val="134"/>
      </rPr>
      <t>依服務對象疾病類別、生理狀況與需求</t>
    </r>
    <r>
      <rPr>
        <sz val="10"/>
        <rFont val="Arial"/>
        <charset val="1"/>
      </rPr>
      <t>(</t>
    </r>
    <r>
      <rPr>
        <sz val="10"/>
        <rFont val="DejaVu Sans"/>
        <charset val="134"/>
      </rPr>
      <t>如糖尿病、腎臟病、心臟病、體重過輕或肥胖、痛風等</t>
    </r>
    <r>
      <rPr>
        <sz val="10"/>
        <rFont val="Arial"/>
        <charset val="1"/>
      </rPr>
      <t>)</t>
    </r>
    <r>
      <rPr>
        <sz val="10"/>
        <rFont val="DejaVu Sans"/>
        <charset val="134"/>
      </rPr>
      <t xml:space="preserve">提供個別化飲食
</t>
    </r>
    <r>
      <rPr>
        <sz val="10"/>
        <rFont val="Arial"/>
        <charset val="1"/>
      </rPr>
      <t>2.</t>
    </r>
    <r>
      <rPr>
        <sz val="10"/>
        <rFont val="DejaVu Sans"/>
        <charset val="134"/>
      </rPr>
      <t xml:space="preserve">對營養評估異常之服務對象，有營養師介入個別化改善措施，且定期評值追蹤及修正飲食照護計畫
</t>
    </r>
    <r>
      <rPr>
        <sz val="10"/>
        <rFont val="Arial"/>
        <charset val="1"/>
      </rPr>
      <t>3.</t>
    </r>
    <r>
      <rPr>
        <sz val="10"/>
        <rFont val="DejaVu Sans"/>
        <charset val="134"/>
      </rPr>
      <t>提供之食物質地應符合服務對象之生理需求</t>
    </r>
    <r>
      <rPr>
        <sz val="10"/>
        <rFont val="Arial"/>
        <charset val="1"/>
      </rPr>
      <t>(</t>
    </r>
    <r>
      <rPr>
        <sz val="10"/>
        <rFont val="DejaVu Sans"/>
        <charset val="134"/>
      </rPr>
      <t>如一般飲食、細碎、軟質、流質、管灌等</t>
    </r>
    <r>
      <rPr>
        <sz val="10"/>
        <rFont val="Arial"/>
        <charset val="1"/>
      </rPr>
      <t>)
4.</t>
    </r>
    <r>
      <rPr>
        <sz val="10"/>
        <rFont val="DejaVu Sans"/>
        <charset val="134"/>
      </rPr>
      <t xml:space="preserve">依服務對象生活習慣或宗教因素提供符合個人偏好之食物
</t>
    </r>
    <r>
      <rPr>
        <sz val="10"/>
        <rFont val="Arial"/>
        <charset val="1"/>
      </rPr>
      <t>5.</t>
    </r>
    <r>
      <rPr>
        <sz val="10"/>
        <rFont val="DejaVu Sans"/>
        <charset val="134"/>
      </rPr>
      <t>每半年至少</t>
    </r>
    <r>
      <rPr>
        <sz val="10"/>
        <rFont val="Arial"/>
        <charset val="1"/>
      </rPr>
      <t>1</t>
    </r>
    <r>
      <rPr>
        <sz val="10"/>
        <rFont val="DejaVu Sans"/>
        <charset val="134"/>
      </rPr>
      <t>次進行膳食滿意度調查，並將改善意見落實於改進膳食服務</t>
    </r>
  </si>
  <si>
    <t>個別化飲食紀錄、營養照護紀錄、膳食滿意度調查及改善紀錄</t>
  </si>
  <si>
    <t>B31</t>
  </si>
  <si>
    <t>依服務對象個別需要提供適宜餐具及容器情形</t>
  </si>
  <si>
    <r>
      <rPr>
        <sz val="10"/>
        <rFont val="Arial"/>
        <charset val="1"/>
      </rPr>
      <t>1.</t>
    </r>
    <r>
      <rPr>
        <sz val="10"/>
        <rFont val="DejaVu Sans"/>
        <charset val="134"/>
      </rPr>
      <t>備有配合服務對象個別化之餐具</t>
    </r>
    <r>
      <rPr>
        <sz val="10"/>
        <rFont val="Arial"/>
        <charset val="1"/>
      </rPr>
      <t>(</t>
    </r>
    <r>
      <rPr>
        <sz val="10"/>
        <rFont val="DejaVu Sans"/>
        <charset val="134"/>
      </rPr>
      <t>如缺口杯、易握把柄湯匙等</t>
    </r>
    <r>
      <rPr>
        <sz val="10"/>
        <rFont val="Arial"/>
        <charset val="1"/>
      </rPr>
      <t>)
2.</t>
    </r>
    <r>
      <rPr>
        <sz val="10"/>
        <rFont val="DejaVu Sans"/>
        <charset val="134"/>
      </rPr>
      <t>機構用餐具，非全為不鏽鋼材質</t>
    </r>
    <r>
      <rPr>
        <sz val="10"/>
        <rFont val="Arial"/>
        <charset val="1"/>
      </rPr>
      <t>(</t>
    </r>
    <r>
      <rPr>
        <sz val="10"/>
        <rFont val="DejaVu Sans"/>
        <charset val="134"/>
      </rPr>
      <t>除特殊情形外，不應使用免洗餐具</t>
    </r>
    <r>
      <rPr>
        <sz val="10"/>
        <rFont val="Arial"/>
        <charset val="1"/>
      </rPr>
      <t>)
3.</t>
    </r>
    <r>
      <rPr>
        <sz val="10"/>
        <rFont val="DejaVu Sans"/>
        <charset val="134"/>
      </rPr>
      <t>有私人餐具、飲用水用具</t>
    </r>
  </si>
  <si>
    <t>個別化餐具使用紀錄、餐具清單</t>
  </si>
  <si>
    <t>B32</t>
  </si>
  <si>
    <t>管灌服務對象餵食情形</t>
  </si>
  <si>
    <r>
      <rPr>
        <sz val="10"/>
        <rFont val="Arial"/>
        <charset val="1"/>
      </rPr>
      <t>1.</t>
    </r>
    <r>
      <rPr>
        <sz val="10"/>
        <rFont val="DejaVu Sans"/>
        <charset val="134"/>
      </rPr>
      <t xml:space="preserve">管灌服務對象有個別之灌食空針，使用過程符合衛生清潔原則
</t>
    </r>
    <r>
      <rPr>
        <sz val="10"/>
        <rFont val="Arial"/>
        <charset val="1"/>
      </rPr>
      <t>2.</t>
    </r>
    <r>
      <rPr>
        <sz val="10"/>
        <rFont val="DejaVu Sans"/>
        <charset val="134"/>
      </rPr>
      <t xml:space="preserve">灌食配方成分、份量與溫度適合服務對象個別需要；食物不全是商業配方，每日至少管灌一次自然食材
</t>
    </r>
    <r>
      <rPr>
        <sz val="10"/>
        <rFont val="Arial"/>
        <charset val="1"/>
      </rPr>
      <t>3.</t>
    </r>
    <r>
      <rPr>
        <sz val="10"/>
        <rFont val="DejaVu Sans"/>
        <charset val="134"/>
      </rPr>
      <t>灌食技術正確</t>
    </r>
    <r>
      <rPr>
        <sz val="10"/>
        <rFont val="Arial"/>
        <charset val="1"/>
      </rPr>
      <t>(</t>
    </r>
    <r>
      <rPr>
        <sz val="10"/>
        <rFont val="DejaVu Sans"/>
        <charset val="134"/>
      </rPr>
      <t>管路位置確認、回抽、空針高度正確、流速適當</t>
    </r>
    <r>
      <rPr>
        <sz val="10"/>
        <rFont val="Arial"/>
        <charset val="1"/>
      </rPr>
      <t>)
4.</t>
    </r>
    <r>
      <rPr>
        <sz val="10"/>
        <rFont val="DejaVu Sans"/>
        <charset val="134"/>
      </rPr>
      <t>灌食時及灌食後注意服務對象需求與感受</t>
    </r>
    <r>
      <rPr>
        <sz val="10"/>
        <rFont val="Arial"/>
        <charset val="1"/>
      </rPr>
      <t>(</t>
    </r>
    <r>
      <rPr>
        <sz val="10"/>
        <rFont val="DejaVu Sans"/>
        <charset val="134"/>
      </rPr>
      <t>姿勢維持如</t>
    </r>
    <r>
      <rPr>
        <sz val="10"/>
        <rFont val="Arial"/>
        <charset val="1"/>
      </rPr>
      <t>1</t>
    </r>
    <r>
      <rPr>
        <sz val="10"/>
        <rFont val="DejaVu Sans"/>
        <charset val="134"/>
      </rPr>
      <t>小時內上半身抬高</t>
    </r>
    <r>
      <rPr>
        <sz val="10"/>
        <rFont val="Arial"/>
        <charset val="1"/>
      </rPr>
      <t>30</t>
    </r>
    <r>
      <rPr>
        <sz val="10"/>
        <rFont val="DejaVu Sans"/>
        <charset val="134"/>
      </rPr>
      <t>至</t>
    </r>
    <r>
      <rPr>
        <sz val="10"/>
        <rFont val="Arial"/>
        <charset val="1"/>
      </rPr>
      <t>45</t>
    </r>
    <r>
      <rPr>
        <sz val="10"/>
        <rFont val="DejaVu Sans"/>
        <charset val="134"/>
      </rPr>
      <t>度</t>
    </r>
    <r>
      <rPr>
        <sz val="10"/>
        <rFont val="Arial"/>
        <charset val="1"/>
      </rPr>
      <t>)
5.</t>
    </r>
    <r>
      <rPr>
        <sz val="10"/>
        <rFont val="DejaVu Sans"/>
        <charset val="134"/>
      </rPr>
      <t>無食物或藥物殘留，灌食管路維持暢通</t>
    </r>
  </si>
  <si>
    <t>灌食紀錄、灌食配方紀錄、管路護理紀錄</t>
  </si>
  <si>
    <r>
      <rPr>
        <b/>
        <sz val="14"/>
        <color rgb="FFBF8F00"/>
        <rFont val="Arial"/>
        <charset val="1"/>
      </rPr>
      <t>C</t>
    </r>
    <r>
      <rPr>
        <b/>
        <sz val="14"/>
        <color rgb="FFBF8F00"/>
        <rFont val="DejaVu Sans"/>
        <charset val="134"/>
      </rPr>
      <t xml:space="preserve">、安全環境設備 </t>
    </r>
    <r>
      <rPr>
        <b/>
        <sz val="14"/>
        <color rgb="FFBF8F00"/>
        <rFont val="Arial"/>
        <charset val="1"/>
      </rPr>
      <t>(</t>
    </r>
    <r>
      <rPr>
        <b/>
        <sz val="14"/>
        <color rgb="FFBF8F00"/>
        <rFont val="DejaVu Sans"/>
        <charset val="134"/>
      </rPr>
      <t>占評分總分</t>
    </r>
    <r>
      <rPr>
        <b/>
        <sz val="14"/>
        <color rgb="FFBF8F00"/>
        <rFont val="Arial"/>
        <charset val="1"/>
      </rPr>
      <t>25%</t>
    </r>
    <r>
      <rPr>
        <b/>
        <sz val="14"/>
        <color rgb="FFBF8F00"/>
        <rFont val="DejaVu Sans"/>
        <charset val="134"/>
      </rPr>
      <t>，共</t>
    </r>
    <r>
      <rPr>
        <b/>
        <sz val="14"/>
        <color rgb="FFBF8F00"/>
        <rFont val="Arial"/>
        <charset val="1"/>
      </rPr>
      <t>16</t>
    </r>
    <r>
      <rPr>
        <b/>
        <sz val="14"/>
        <color rgb="FFBF8F00"/>
        <rFont val="DejaVu Sans"/>
        <charset val="134"/>
      </rPr>
      <t>項指標</t>
    </r>
    <r>
      <rPr>
        <b/>
        <sz val="14"/>
        <color rgb="FFBF8F00"/>
        <rFont val="Arial"/>
        <charset val="1"/>
      </rPr>
      <t>)</t>
    </r>
  </si>
  <si>
    <t>C1</t>
  </si>
  <si>
    <t>公共空間及寢室空間採光、照明及通風設備情形</t>
  </si>
  <si>
    <t>環安</t>
  </si>
  <si>
    <r>
      <rPr>
        <sz val="10"/>
        <rFont val="Arial"/>
        <charset val="1"/>
      </rPr>
      <t>1.</t>
    </r>
    <r>
      <rPr>
        <sz val="10"/>
        <rFont val="DejaVu Sans"/>
        <charset val="134"/>
      </rPr>
      <t xml:space="preserve">每間寢室都有自然採光及照明設備，且通風佳、無異味
</t>
    </r>
    <r>
      <rPr>
        <sz val="10"/>
        <rFont val="Arial"/>
        <charset val="1"/>
      </rPr>
      <t>2.</t>
    </r>
    <r>
      <rPr>
        <sz val="10"/>
        <rFont val="DejaVu Sans"/>
        <charset val="134"/>
      </rPr>
      <t xml:space="preserve">公共空間有良好採光及照明設備，且通風佳、無異味
</t>
    </r>
    <r>
      <rPr>
        <sz val="10"/>
        <rFont val="Arial"/>
        <charset val="1"/>
      </rPr>
      <t>3.</t>
    </r>
    <r>
      <rPr>
        <sz val="10"/>
        <rFont val="DejaVu Sans"/>
        <charset val="134"/>
      </rPr>
      <t xml:space="preserve">可依服務對象不同溫度需求，於寢室提供調整冷暖之設備
</t>
    </r>
    <r>
      <rPr>
        <sz val="10"/>
        <rFont val="Arial"/>
        <charset val="1"/>
      </rPr>
      <t>4.</t>
    </r>
    <r>
      <rPr>
        <sz val="10"/>
        <rFont val="DejaVu Sans"/>
        <charset val="134"/>
      </rPr>
      <t xml:space="preserve">寢室配置可調整光度之照明燈具
</t>
    </r>
    <r>
      <rPr>
        <sz val="10"/>
        <rFont val="Arial"/>
        <charset val="1"/>
      </rPr>
      <t>5.</t>
    </r>
    <r>
      <rPr>
        <sz val="10"/>
        <rFont val="DejaVu Sans"/>
        <charset val="134"/>
      </rPr>
      <t xml:space="preserve">不靠窗之公共空間，有充足人工照明
</t>
    </r>
    <r>
      <rPr>
        <sz val="10"/>
        <rFont val="Arial"/>
        <charset val="1"/>
      </rPr>
      <t>6.</t>
    </r>
    <r>
      <rPr>
        <sz val="10"/>
        <rFont val="DejaVu Sans"/>
        <charset val="134"/>
      </rPr>
      <t>未靠窗之公共空間設備，有充足空調設備</t>
    </r>
  </si>
  <si>
    <t>環境照明檢查紀錄、空調設備維護紀錄</t>
  </si>
  <si>
    <t>C2</t>
  </si>
  <si>
    <t>儲藏設施設置情形</t>
  </si>
  <si>
    <r>
      <rPr>
        <sz val="10"/>
        <rFont val="Arial"/>
        <charset val="1"/>
      </rPr>
      <t>1.</t>
    </r>
    <r>
      <rPr>
        <sz val="10"/>
        <rFont val="DejaVu Sans"/>
        <charset val="134"/>
      </rPr>
      <t xml:space="preserve">具有輔具、傢俱、個人物品或消耗性物品之儲藏空間
</t>
    </r>
    <r>
      <rPr>
        <sz val="10"/>
        <rFont val="Arial"/>
        <charset val="1"/>
      </rPr>
      <t>2.</t>
    </r>
    <r>
      <rPr>
        <sz val="10"/>
        <rFont val="DejaVu Sans"/>
        <charset val="134"/>
      </rPr>
      <t xml:space="preserve">易燃或可燃性物品之公共儲藏空間，應有密閉性且隨時上鎖
</t>
    </r>
    <r>
      <rPr>
        <sz val="10"/>
        <rFont val="Arial"/>
        <charset val="1"/>
      </rPr>
      <t>3.</t>
    </r>
    <r>
      <rPr>
        <sz val="10"/>
        <rFont val="DejaVu Sans"/>
        <charset val="134"/>
      </rPr>
      <t xml:space="preserve">儲藏室及儲存易燃或可燃性物品之房間，應建置適用之火警探測器或自動撒水設備
</t>
    </r>
    <r>
      <rPr>
        <sz val="10"/>
        <rFont val="Arial"/>
        <charset val="1"/>
      </rPr>
      <t>4.</t>
    </r>
    <r>
      <rPr>
        <sz val="10"/>
        <rFont val="DejaVu Sans"/>
        <charset val="134"/>
      </rPr>
      <t>各儲存物品之空間具分類標示及擺放整齊，定期盤點並有紀錄</t>
    </r>
  </si>
  <si>
    <t>儲藏空間管理紀錄、定期盤點紀錄、消防設備檢查紀錄</t>
  </si>
  <si>
    <t>C3</t>
  </si>
  <si>
    <t>日常活動空間及設施、設備設置情形</t>
  </si>
  <si>
    <r>
      <rPr>
        <sz val="10"/>
        <rFont val="Arial"/>
        <charset val="1"/>
      </rPr>
      <t>1.</t>
    </r>
    <r>
      <rPr>
        <sz val="10"/>
        <rFont val="DejaVu Sans"/>
        <charset val="134"/>
      </rPr>
      <t xml:space="preserve">餐廳設置區位符合便利性，其設施設備、動線可滿足服務對象之需求
</t>
    </r>
    <r>
      <rPr>
        <sz val="10"/>
        <rFont val="Arial"/>
        <charset val="1"/>
      </rPr>
      <t>2.</t>
    </r>
    <r>
      <rPr>
        <sz val="10"/>
        <rFont val="DejaVu Sans"/>
        <charset val="134"/>
      </rPr>
      <t xml:space="preserve">日常活動空間之位置符合服務對象使用之需求及便利性，且每週至少一次清潔環境，並有紀錄
</t>
    </r>
    <r>
      <rPr>
        <sz val="10"/>
        <rFont val="Arial"/>
        <charset val="1"/>
      </rPr>
      <t>3.</t>
    </r>
    <r>
      <rPr>
        <sz val="10"/>
        <rFont val="DejaVu Sans"/>
        <charset val="134"/>
      </rPr>
      <t xml:space="preserve">日常活動空間有足夠之設施設備，滿足服務對象交誼所需
</t>
    </r>
    <r>
      <rPr>
        <sz val="10"/>
        <rFont val="Arial"/>
        <charset val="1"/>
      </rPr>
      <t>4.</t>
    </r>
    <r>
      <rPr>
        <sz val="10"/>
        <rFont val="DejaVu Sans"/>
        <charset val="134"/>
      </rPr>
      <t>具其他用途亦須符合相關規定</t>
    </r>
  </si>
  <si>
    <t>活動空間配置圖、清潔紀錄、設施設備清單</t>
  </si>
  <si>
    <t>C4</t>
  </si>
  <si>
    <t>寢室及浴廁緊急呼叫系統設置情形</t>
  </si>
  <si>
    <r>
      <rPr>
        <sz val="10"/>
        <rFont val="Arial"/>
        <charset val="1"/>
      </rPr>
      <t>1.</t>
    </r>
    <r>
      <rPr>
        <sz val="10"/>
        <rFont val="DejaVu Sans"/>
        <charset val="134"/>
      </rPr>
      <t xml:space="preserve">浴室、廁所及寢室應設有緊急呼叫設備
</t>
    </r>
    <r>
      <rPr>
        <sz val="10"/>
        <rFont val="Arial"/>
        <charset val="1"/>
      </rPr>
      <t>2.</t>
    </r>
    <r>
      <rPr>
        <sz val="10"/>
        <rFont val="DejaVu Sans"/>
        <charset val="134"/>
      </rPr>
      <t xml:space="preserve">緊急呼叫設備功能正常
</t>
    </r>
    <r>
      <rPr>
        <sz val="10"/>
        <rFont val="Arial"/>
        <charset val="1"/>
      </rPr>
      <t>3.</t>
    </r>
    <r>
      <rPr>
        <sz val="10"/>
        <rFont val="DejaVu Sans"/>
        <charset val="134"/>
      </rPr>
      <t xml:space="preserve">緊急呼叫設備，設置位置適當
</t>
    </r>
    <r>
      <rPr>
        <sz val="10"/>
        <rFont val="Arial"/>
        <charset val="1"/>
      </rPr>
      <t>4.</t>
    </r>
    <r>
      <rPr>
        <sz val="10"/>
        <rFont val="DejaVu Sans"/>
        <charset val="134"/>
      </rPr>
      <t>有人按鈴，服務人員能立即反應處理</t>
    </r>
  </si>
  <si>
    <t>緊急呼叫設備清單、功能測試紀錄</t>
  </si>
  <si>
    <t>C5</t>
  </si>
  <si>
    <r>
      <rPr>
        <sz val="10"/>
        <rFont val="DejaVu Sans"/>
        <charset val="134"/>
      </rPr>
      <t>昇降機</t>
    </r>
    <r>
      <rPr>
        <sz val="10"/>
        <rFont val="Arial"/>
        <charset val="1"/>
      </rPr>
      <t>(</t>
    </r>
    <r>
      <rPr>
        <sz val="10"/>
        <rFont val="DejaVu Sans"/>
        <charset val="134"/>
      </rPr>
      <t>電梯</t>
    </r>
    <r>
      <rPr>
        <sz val="10"/>
        <rFont val="Arial"/>
        <charset val="1"/>
      </rPr>
      <t>)</t>
    </r>
    <r>
      <rPr>
        <sz val="10"/>
        <rFont val="DejaVu Sans"/>
        <charset val="134"/>
      </rPr>
      <t>設置情形</t>
    </r>
  </si>
  <si>
    <r>
      <rPr>
        <sz val="10"/>
        <rFont val="Arial"/>
        <charset val="1"/>
      </rPr>
      <t>1.</t>
    </r>
    <r>
      <rPr>
        <sz val="10"/>
        <rFont val="DejaVu Sans"/>
        <charset val="134"/>
      </rPr>
      <t>機構內每幢</t>
    </r>
    <r>
      <rPr>
        <sz val="10"/>
        <rFont val="Arial"/>
        <charset val="1"/>
      </rPr>
      <t>2</t>
    </r>
    <r>
      <rPr>
        <sz val="10"/>
        <rFont val="DejaVu Sans"/>
        <charset val="134"/>
      </rPr>
      <t>樓以上建築物應至少設</t>
    </r>
    <r>
      <rPr>
        <sz val="10"/>
        <rFont val="Arial"/>
        <charset val="1"/>
      </rPr>
      <t>1</t>
    </r>
    <r>
      <rPr>
        <sz val="10"/>
        <rFont val="DejaVu Sans"/>
        <charset val="134"/>
      </rPr>
      <t xml:space="preserve">座無障礙昇降機
</t>
    </r>
    <r>
      <rPr>
        <sz val="10"/>
        <rFont val="Arial"/>
        <charset val="1"/>
      </rPr>
      <t>2.</t>
    </r>
    <r>
      <rPr>
        <sz val="10"/>
        <rFont val="DejaVu Sans"/>
        <charset val="134"/>
      </rPr>
      <t>昇降機門淨寬度不得小於</t>
    </r>
    <r>
      <rPr>
        <sz val="10"/>
        <rFont val="Arial"/>
        <charset val="1"/>
      </rPr>
      <t>90</t>
    </r>
    <r>
      <rPr>
        <sz val="10"/>
        <rFont val="DejaVu Sans"/>
        <charset val="134"/>
      </rPr>
      <t>公分，機廂深度不得小於</t>
    </r>
    <r>
      <rPr>
        <sz val="10"/>
        <rFont val="Arial"/>
        <charset val="1"/>
      </rPr>
      <t>135</t>
    </r>
    <r>
      <rPr>
        <sz val="10"/>
        <rFont val="DejaVu Sans"/>
        <charset val="134"/>
      </rPr>
      <t xml:space="preserve">公分
</t>
    </r>
    <r>
      <rPr>
        <sz val="10"/>
        <rFont val="Arial"/>
        <charset val="1"/>
      </rPr>
      <t>3.</t>
    </r>
    <r>
      <rPr>
        <sz val="10"/>
        <rFont val="DejaVu Sans"/>
        <charset val="134"/>
      </rPr>
      <t>昇降機前方梯廳之輪椅迴轉空間，有直徑</t>
    </r>
    <r>
      <rPr>
        <sz val="10"/>
        <rFont val="Arial"/>
        <charset val="1"/>
      </rPr>
      <t>150</t>
    </r>
    <r>
      <rPr>
        <sz val="10"/>
        <rFont val="DejaVu Sans"/>
        <charset val="134"/>
      </rPr>
      <t xml:space="preserve">公分以上之輪椅迴轉空間
</t>
    </r>
    <r>
      <rPr>
        <sz val="10"/>
        <rFont val="Arial"/>
        <charset val="1"/>
      </rPr>
      <t>4.</t>
    </r>
    <r>
      <rPr>
        <sz val="10"/>
        <rFont val="DejaVu Sans"/>
        <charset val="134"/>
      </rPr>
      <t xml:space="preserve">點字設施、標誌及輪椅乘坐者之操作盤
</t>
    </r>
    <r>
      <rPr>
        <sz val="10"/>
        <rFont val="Arial"/>
        <charset val="1"/>
      </rPr>
      <t>5.</t>
    </r>
    <r>
      <rPr>
        <sz val="10"/>
        <rFont val="DejaVu Sans"/>
        <charset val="134"/>
      </rPr>
      <t xml:space="preserve">至少二側設置扶手
</t>
    </r>
    <r>
      <rPr>
        <sz val="10"/>
        <rFont val="Arial"/>
        <charset val="1"/>
      </rPr>
      <t>6.</t>
    </r>
    <r>
      <rPr>
        <sz val="10"/>
        <rFont val="DejaVu Sans"/>
        <charset val="134"/>
      </rPr>
      <t>未設置昇降機但屬專供具行動能力者使用之建築物，其無障礙通路可到達公共空間</t>
    </r>
  </si>
  <si>
    <t>昇降機檢查合格證明、無障礙設施檢查紀錄</t>
  </si>
  <si>
    <t>C6</t>
  </si>
  <si>
    <t>無障礙浴廁及洗漱設備之設置與使用情形</t>
  </si>
  <si>
    <r>
      <rPr>
        <sz val="10"/>
        <rFont val="Arial"/>
        <charset val="1"/>
      </rPr>
      <t>1.</t>
    </r>
    <r>
      <rPr>
        <sz val="10"/>
        <rFont val="DejaVu Sans"/>
        <charset val="134"/>
      </rPr>
      <t xml:space="preserve">出入口高差、寬度、門開關方式及地面材料止滑
</t>
    </r>
    <r>
      <rPr>
        <sz val="10"/>
        <rFont val="Arial"/>
        <charset val="1"/>
      </rPr>
      <t>2.</t>
    </r>
    <r>
      <rPr>
        <sz val="10"/>
        <rFont val="DejaVu Sans"/>
        <charset val="134"/>
      </rPr>
      <t xml:space="preserve">設置扶手協助變換姿勢及防止滑倒
</t>
    </r>
    <r>
      <rPr>
        <sz val="10"/>
        <rFont val="Arial"/>
        <charset val="1"/>
      </rPr>
      <t>3.</t>
    </r>
    <r>
      <rPr>
        <sz val="10"/>
        <rFont val="DejaVu Sans"/>
        <charset val="134"/>
      </rPr>
      <t xml:space="preserve">輪椅之迴轉空間，馬桶之設計與空間足供可自行使用輪椅者橫向移座
</t>
    </r>
    <r>
      <rPr>
        <sz val="10"/>
        <rFont val="Arial"/>
        <charset val="1"/>
      </rPr>
      <t>4.</t>
    </r>
    <r>
      <rPr>
        <sz val="10"/>
        <rFont val="DejaVu Sans"/>
        <charset val="134"/>
      </rPr>
      <t xml:space="preserve">洗臉盆及鏡子
</t>
    </r>
    <r>
      <rPr>
        <sz val="10"/>
        <rFont val="Arial"/>
        <charset val="1"/>
      </rPr>
      <t>5.</t>
    </r>
    <r>
      <rPr>
        <sz val="10"/>
        <rFont val="DejaVu Sans"/>
        <charset val="134"/>
      </rPr>
      <t xml:space="preserve">多人使用之浴廁，應有適當的隔間或門簾
</t>
    </r>
    <r>
      <rPr>
        <sz val="10"/>
        <rFont val="Arial"/>
        <charset val="1"/>
      </rPr>
      <t>6.</t>
    </r>
    <r>
      <rPr>
        <sz val="10"/>
        <rFont val="DejaVu Sans"/>
        <charset val="134"/>
      </rPr>
      <t>至少設置兩處求助鈴</t>
    </r>
  </si>
  <si>
    <r>
      <rPr>
        <sz val="10"/>
        <rFont val="DejaVu Sans"/>
        <charset val="134"/>
      </rPr>
      <t>無障礙浴廁設施檢查紀錄、改善計畫</t>
    </r>
    <r>
      <rPr>
        <sz val="10"/>
        <rFont val="Arial"/>
        <charset val="1"/>
      </rPr>
      <t>(</t>
    </r>
    <r>
      <rPr>
        <sz val="10"/>
        <rFont val="DejaVu Sans"/>
        <charset val="134"/>
      </rPr>
      <t>如適用</t>
    </r>
    <r>
      <rPr>
        <sz val="10"/>
        <rFont val="Arial"/>
        <charset val="1"/>
      </rPr>
      <t>)</t>
    </r>
  </si>
  <si>
    <t>C7</t>
  </si>
  <si>
    <t>餐廳、廚房之設施設備與環境清潔衛生情形</t>
  </si>
  <si>
    <r>
      <rPr>
        <sz val="10"/>
        <rFont val="DejaVu Sans"/>
        <charset val="134"/>
      </rPr>
      <t>自辦伙食：</t>
    </r>
    <r>
      <rPr>
        <sz val="10"/>
        <rFont val="Arial"/>
        <charset val="1"/>
      </rPr>
      <t>1.</t>
    </r>
    <r>
      <rPr>
        <sz val="10"/>
        <rFont val="DejaVu Sans"/>
        <charset val="134"/>
      </rPr>
      <t xml:space="preserve">訂有廚房作業標準 </t>
    </r>
    <r>
      <rPr>
        <sz val="10"/>
        <rFont val="Arial"/>
        <charset val="1"/>
      </rPr>
      <t>2.</t>
    </r>
    <r>
      <rPr>
        <sz val="10"/>
        <rFont val="DejaVu Sans"/>
        <charset val="134"/>
      </rPr>
      <t xml:space="preserve">餐廳環境維持清潔並有定期清掃及消毒之紀錄 </t>
    </r>
    <r>
      <rPr>
        <sz val="10"/>
        <rFont val="Arial"/>
        <charset val="1"/>
      </rPr>
      <t>3.</t>
    </r>
    <r>
      <rPr>
        <sz val="10"/>
        <rFont val="DejaVu Sans"/>
        <charset val="134"/>
      </rPr>
      <t>乾貨、冷凍</t>
    </r>
    <r>
      <rPr>
        <sz val="10"/>
        <rFont val="Arial"/>
        <charset val="1"/>
      </rPr>
      <t>(-18°C</t>
    </r>
    <r>
      <rPr>
        <sz val="10"/>
        <rFont val="DejaVu Sans"/>
        <charset val="134"/>
      </rPr>
      <t>以下</t>
    </r>
    <r>
      <rPr>
        <sz val="10"/>
        <rFont val="Arial"/>
        <charset val="1"/>
      </rPr>
      <t>)</t>
    </r>
    <r>
      <rPr>
        <sz val="10"/>
        <rFont val="DejaVu Sans"/>
        <charset val="134"/>
      </rPr>
      <t>及冷藏</t>
    </r>
    <r>
      <rPr>
        <sz val="10"/>
        <rFont val="Arial"/>
        <charset val="1"/>
      </rPr>
      <t>(7°C</t>
    </r>
    <r>
      <rPr>
        <sz val="10"/>
        <rFont val="DejaVu Sans"/>
        <charset val="134"/>
      </rPr>
      <t>以下</t>
    </r>
    <r>
      <rPr>
        <sz val="10"/>
        <rFont val="Arial"/>
        <charset val="1"/>
      </rPr>
      <t>)</t>
    </r>
    <r>
      <rPr>
        <sz val="10"/>
        <rFont val="DejaVu Sans"/>
        <charset val="134"/>
      </rPr>
      <t xml:space="preserve">食材分開儲存管理 </t>
    </r>
    <r>
      <rPr>
        <sz val="10"/>
        <rFont val="Arial"/>
        <charset val="1"/>
      </rPr>
      <t>4.</t>
    </r>
    <r>
      <rPr>
        <sz val="10"/>
        <rFont val="DejaVu Sans"/>
        <charset val="134"/>
      </rPr>
      <t>食物檢體留存</t>
    </r>
    <r>
      <rPr>
        <sz val="10"/>
        <rFont val="Arial"/>
        <charset val="1"/>
      </rPr>
      <t>(</t>
    </r>
    <r>
      <rPr>
        <sz val="10"/>
        <rFont val="DejaVu Sans"/>
        <charset val="134"/>
      </rPr>
      <t>整份或每樣食物</t>
    </r>
    <r>
      <rPr>
        <sz val="10"/>
        <rFont val="Arial"/>
        <charset val="1"/>
      </rPr>
      <t>150</t>
    </r>
    <r>
      <rPr>
        <sz val="10"/>
        <rFont val="DejaVu Sans"/>
        <charset val="134"/>
      </rPr>
      <t>公克</t>
    </r>
    <r>
      <rPr>
        <sz val="10"/>
        <rFont val="Arial"/>
        <charset val="1"/>
      </rPr>
      <t>)</t>
    </r>
    <r>
      <rPr>
        <sz val="10"/>
        <rFont val="DejaVu Sans"/>
        <charset val="134"/>
      </rPr>
      <t>分開封裝標示日期及餐次，冷藏存放</t>
    </r>
    <r>
      <rPr>
        <sz val="10"/>
        <rFont val="Arial"/>
        <charset val="1"/>
      </rPr>
      <t>48</t>
    </r>
    <r>
      <rPr>
        <sz val="10"/>
        <rFont val="DejaVu Sans"/>
        <charset val="134"/>
      </rPr>
      <t xml:space="preserve">小時 </t>
    </r>
    <r>
      <rPr>
        <sz val="10"/>
        <rFont val="Arial"/>
        <charset val="1"/>
      </rPr>
      <t>5.</t>
    </r>
    <r>
      <rPr>
        <sz val="10"/>
        <rFont val="DejaVu Sans"/>
        <charset val="134"/>
      </rPr>
      <t>洗碗及洗菜應分槽處理
供膳外包：</t>
    </r>
    <r>
      <rPr>
        <sz val="10"/>
        <rFont val="Arial"/>
        <charset val="1"/>
      </rPr>
      <t>1.</t>
    </r>
    <r>
      <rPr>
        <sz val="10"/>
        <rFont val="DejaVu Sans"/>
        <charset val="134"/>
      </rPr>
      <t xml:space="preserve">訂有配膳作業標準 </t>
    </r>
    <r>
      <rPr>
        <sz val="10"/>
        <rFont val="Arial"/>
        <charset val="1"/>
      </rPr>
      <t>2.</t>
    </r>
    <r>
      <rPr>
        <sz val="10"/>
        <rFont val="DejaVu Sans"/>
        <charset val="134"/>
      </rPr>
      <t xml:space="preserve">餐廳環境維持清潔並有定期清掃及消毒之紀錄 </t>
    </r>
    <r>
      <rPr>
        <sz val="10"/>
        <rFont val="Arial"/>
        <charset val="1"/>
      </rPr>
      <t>3.</t>
    </r>
    <r>
      <rPr>
        <sz val="10"/>
        <rFont val="DejaVu Sans"/>
        <charset val="134"/>
      </rPr>
      <t>供膳外包機構與供應商訂有合約且在有效期限內並有</t>
    </r>
    <r>
      <rPr>
        <sz val="10"/>
        <rFont val="Arial"/>
        <charset val="1"/>
      </rPr>
      <t>GHP/HACCP</t>
    </r>
    <r>
      <rPr>
        <sz val="10"/>
        <rFont val="DejaVu Sans"/>
        <charset val="134"/>
      </rPr>
      <t xml:space="preserve">證明 </t>
    </r>
    <r>
      <rPr>
        <sz val="10"/>
        <rFont val="Arial"/>
        <charset val="1"/>
      </rPr>
      <t>4.</t>
    </r>
    <r>
      <rPr>
        <sz val="10"/>
        <rFont val="DejaVu Sans"/>
        <charset val="134"/>
      </rPr>
      <t>食物檢體留存規定</t>
    </r>
  </si>
  <si>
    <r>
      <rPr>
        <sz val="10"/>
        <rFont val="DejaVu Sans"/>
        <charset val="134"/>
      </rPr>
      <t>廚房</t>
    </r>
    <r>
      <rPr>
        <sz val="10"/>
        <rFont val="Arial"/>
        <charset val="1"/>
      </rPr>
      <t>/</t>
    </r>
    <r>
      <rPr>
        <sz val="10"/>
        <rFont val="DejaVu Sans"/>
        <charset val="134"/>
      </rPr>
      <t>配膳作業標準、環境清潔紀錄、食材儲存溫度紀錄、食物檢體留存紀錄、供膳合約及</t>
    </r>
    <r>
      <rPr>
        <sz val="10"/>
        <rFont val="Arial"/>
        <charset val="1"/>
      </rPr>
      <t>GHP/HACCP</t>
    </r>
    <r>
      <rPr>
        <sz val="10"/>
        <rFont val="DejaVu Sans"/>
        <charset val="134"/>
      </rPr>
      <t>證明</t>
    </r>
    <r>
      <rPr>
        <sz val="10"/>
        <rFont val="Arial"/>
        <charset val="1"/>
      </rPr>
      <t>(</t>
    </r>
    <r>
      <rPr>
        <sz val="10"/>
        <rFont val="DejaVu Sans"/>
        <charset val="134"/>
      </rPr>
      <t>如適用</t>
    </r>
    <r>
      <rPr>
        <sz val="10"/>
        <rFont val="Arial"/>
        <charset val="1"/>
      </rPr>
      <t>)</t>
    </r>
  </si>
  <si>
    <t>C8</t>
  </si>
  <si>
    <t>污物、事業廢棄物處理及環境病媒、蟲害防治情形</t>
  </si>
  <si>
    <r>
      <rPr>
        <sz val="10"/>
        <rFont val="Arial"/>
        <charset val="1"/>
      </rPr>
      <t>1.</t>
    </r>
    <r>
      <rPr>
        <sz val="10"/>
        <rFont val="DejaVu Sans"/>
        <charset val="134"/>
      </rPr>
      <t xml:space="preserve">訂有機構污物處理辦法及流程
</t>
    </r>
    <r>
      <rPr>
        <sz val="10"/>
        <rFont val="Arial"/>
        <charset val="1"/>
      </rPr>
      <t>2.</t>
    </r>
    <r>
      <rPr>
        <sz val="10"/>
        <rFont val="DejaVu Sans"/>
        <charset val="134"/>
      </rPr>
      <t xml:space="preserve">有獨立之污物處理空間，動線符合感染管制原則
</t>
    </r>
    <r>
      <rPr>
        <sz val="10"/>
        <rFont val="Arial"/>
        <charset val="1"/>
      </rPr>
      <t>3.</t>
    </r>
    <r>
      <rPr>
        <sz val="10"/>
        <rFont val="DejaVu Sans"/>
        <charset val="134"/>
      </rPr>
      <t>機構內外環境清潔且無異味，每</t>
    </r>
    <r>
      <rPr>
        <sz val="10"/>
        <rFont val="Arial"/>
        <charset val="1"/>
      </rPr>
      <t>3</t>
    </r>
    <r>
      <rPr>
        <sz val="10"/>
        <rFont val="DejaVu Sans"/>
        <charset val="134"/>
      </rPr>
      <t>個月機構內外環境消毒</t>
    </r>
    <r>
      <rPr>
        <sz val="10"/>
        <rFont val="Arial"/>
        <charset val="1"/>
      </rPr>
      <t>1</t>
    </r>
    <r>
      <rPr>
        <sz val="10"/>
        <rFont val="DejaVu Sans"/>
        <charset val="134"/>
      </rPr>
      <t xml:space="preserve">次並有紀錄
</t>
    </r>
    <r>
      <rPr>
        <sz val="10"/>
        <rFont val="Arial"/>
        <charset val="1"/>
      </rPr>
      <t>4.</t>
    </r>
    <r>
      <rPr>
        <sz val="10"/>
        <rFont val="DejaVu Sans"/>
        <charset val="134"/>
      </rPr>
      <t xml:space="preserve">備有有效期內廢棄物委託處理合約
</t>
    </r>
    <r>
      <rPr>
        <sz val="10"/>
        <rFont val="Arial"/>
        <charset val="1"/>
      </rPr>
      <t>5.</t>
    </r>
    <r>
      <rPr>
        <sz val="10"/>
        <rFont val="DejaVu Sans"/>
        <charset val="134"/>
      </rPr>
      <t xml:space="preserve">廢棄物定時清理、定點存放且有專人處理
</t>
    </r>
    <r>
      <rPr>
        <sz val="10"/>
        <rFont val="Arial"/>
        <charset val="1"/>
      </rPr>
      <t>6.</t>
    </r>
    <r>
      <rPr>
        <sz val="10"/>
        <rFont val="DejaVu Sans"/>
        <charset val="134"/>
      </rPr>
      <t xml:space="preserve">有具體杜絕蚊蟲害之防治措施及設施
</t>
    </r>
    <r>
      <rPr>
        <sz val="10"/>
        <rFont val="Arial"/>
        <charset val="1"/>
      </rPr>
      <t>7.</t>
    </r>
    <r>
      <rPr>
        <sz val="10"/>
        <rFont val="DejaVu Sans"/>
        <charset val="134"/>
      </rPr>
      <t>每半年委外合格之病媒防治業做病媒、害蟲防治，應有佐證文件</t>
    </r>
  </si>
  <si>
    <t>污物處理辦法及流程、消毒紀錄、廢棄物委託處理合約、病媒防治佐證文件</t>
  </si>
  <si>
    <t>C9</t>
  </si>
  <si>
    <t>建築物公共安全檢查簽證申報及消防安全設備設置、檢修及防火管理情形</t>
  </si>
  <si>
    <r>
      <rPr>
        <sz val="10"/>
        <rFont val="Arial"/>
        <charset val="1"/>
      </rPr>
      <t>1.</t>
    </r>
    <r>
      <rPr>
        <sz val="10"/>
        <rFont val="DejaVu Sans"/>
        <charset val="134"/>
      </rPr>
      <t xml:space="preserve">建物現況與使用執照登載用途相符，並依規定辦理建築物防火避難設施與設備安全檢查簽證申報
</t>
    </r>
    <r>
      <rPr>
        <sz val="10"/>
        <rFont val="Arial"/>
        <charset val="1"/>
      </rPr>
      <t>2.</t>
    </r>
    <r>
      <rPr>
        <sz val="10"/>
        <rFont val="DejaVu Sans"/>
        <charset val="134"/>
      </rPr>
      <t xml:space="preserve">依規定每半年委託消防設備師或消防設備士定期檢修消防安全設備
</t>
    </r>
    <r>
      <rPr>
        <sz val="10"/>
        <rFont val="Arial"/>
        <charset val="1"/>
      </rPr>
      <t>3.</t>
    </r>
    <r>
      <rPr>
        <sz val="10"/>
        <rFont val="DejaVu Sans"/>
        <charset val="134"/>
      </rPr>
      <t xml:space="preserve">建立防火管理制度，且工作人員了解自身職責
</t>
    </r>
    <r>
      <rPr>
        <sz val="10"/>
        <rFont val="Arial"/>
        <charset val="1"/>
      </rPr>
      <t>4.</t>
    </r>
    <r>
      <rPr>
        <sz val="10"/>
        <rFont val="DejaVu Sans"/>
        <charset val="134"/>
      </rPr>
      <t>擔任防火管理人之人員應符合消防法施行細則第</t>
    </r>
    <r>
      <rPr>
        <sz val="10"/>
        <rFont val="Arial"/>
        <charset val="1"/>
      </rPr>
      <t>14</t>
    </r>
    <r>
      <rPr>
        <sz val="10"/>
        <rFont val="DejaVu Sans"/>
        <charset val="134"/>
      </rPr>
      <t xml:space="preserve">條規定
</t>
    </r>
    <r>
      <rPr>
        <sz val="10"/>
        <rFont val="Arial"/>
        <charset val="1"/>
      </rPr>
      <t>5.</t>
    </r>
    <r>
      <rPr>
        <sz val="10"/>
        <rFont val="DejaVu Sans"/>
        <charset val="134"/>
      </rPr>
      <t xml:space="preserve">機構應每個月自主檢查機構內部用電設備安全，並有符合現況之紀錄
</t>
    </r>
    <r>
      <rPr>
        <sz val="10"/>
        <rFont val="Arial"/>
        <charset val="1"/>
      </rPr>
      <t>6.</t>
    </r>
    <r>
      <rPr>
        <sz val="10"/>
        <rFont val="DejaVu Sans"/>
        <charset val="134"/>
      </rPr>
      <t>機構應每半年一次委託用電設備檢驗維護業者定期檢驗機構內部用電設備</t>
    </r>
  </si>
  <si>
    <t>建物使用執照、公共安全檢查簽證申報文件、消防設備檢修報告、防火管理制度、防火管理人資格證明、用電設備自主檢查紀錄、用電設備定期檢驗紀錄</t>
  </si>
  <si>
    <t>C10</t>
  </si>
  <si>
    <t>疏散避難系統及等待救援空間設置</t>
  </si>
  <si>
    <r>
      <rPr>
        <sz val="10"/>
        <rFont val="Arial"/>
        <charset val="1"/>
      </rPr>
      <t>1.</t>
    </r>
    <r>
      <rPr>
        <sz val="10"/>
        <rFont val="DejaVu Sans"/>
        <charset val="134"/>
      </rPr>
      <t xml:space="preserve">樓梯間、走道、出入口、防火門應保持暢通無阻礙物
</t>
    </r>
    <r>
      <rPr>
        <sz val="10"/>
        <rFont val="Arial"/>
        <charset val="1"/>
      </rPr>
      <t>2.</t>
    </r>
    <r>
      <rPr>
        <sz val="10"/>
        <rFont val="DejaVu Sans"/>
        <charset val="134"/>
      </rPr>
      <t>逃生路徑為雙向</t>
    </r>
    <r>
      <rPr>
        <sz val="10"/>
        <rFont val="Arial"/>
        <charset val="1"/>
      </rPr>
      <t>(</t>
    </r>
    <r>
      <rPr>
        <sz val="10"/>
        <rFont val="DejaVu Sans"/>
        <charset val="134"/>
      </rPr>
      <t>其中具備一座安全梯及兩個以上避難途徑</t>
    </r>
    <r>
      <rPr>
        <sz val="10"/>
        <rFont val="Arial"/>
        <charset val="1"/>
      </rPr>
      <t>)
3.</t>
    </r>
    <r>
      <rPr>
        <sz val="10"/>
        <rFont val="DejaVu Sans"/>
        <charset val="134"/>
      </rPr>
      <t xml:space="preserve">設置逃生路徑之防火門應往避難方向開啟並能與火警自動警報設備連動而關閉
</t>
    </r>
    <r>
      <rPr>
        <sz val="10"/>
        <rFont val="Arial"/>
        <charset val="1"/>
      </rPr>
      <t>4.</t>
    </r>
    <r>
      <rPr>
        <sz val="10"/>
        <rFont val="DejaVu Sans"/>
        <charset val="134"/>
      </rPr>
      <t xml:space="preserve">設有等待救援空間並有適當煙控制功能
</t>
    </r>
    <r>
      <rPr>
        <sz val="10"/>
        <rFont val="Arial"/>
        <charset val="1"/>
      </rPr>
      <t>5.</t>
    </r>
    <r>
      <rPr>
        <sz val="10"/>
        <rFont val="DejaVu Sans"/>
        <charset val="134"/>
      </rPr>
      <t>火災時中央空氣調節系統之電源關能和火警自動警報設備連動而自動切斷</t>
    </r>
  </si>
  <si>
    <t>避難逃生路線圖、防火門檢查紀錄、等待救援空間標示</t>
  </si>
  <si>
    <t>C11</t>
  </si>
  <si>
    <r>
      <rPr>
        <sz val="10"/>
        <rFont val="DejaVu Sans"/>
        <charset val="134"/>
      </rPr>
      <t>訂定符合機構特性及需要之緊急災害應變計畫</t>
    </r>
    <r>
      <rPr>
        <sz val="10"/>
        <rFont val="Arial"/>
        <charset val="1"/>
      </rPr>
      <t>(EOP)</t>
    </r>
    <r>
      <rPr>
        <sz val="10"/>
        <rFont val="DejaVu Sans"/>
        <charset val="134"/>
      </rPr>
      <t>及作業程序，並落實演練</t>
    </r>
  </si>
  <si>
    <r>
      <rPr>
        <sz val="10"/>
        <rFont val="Arial"/>
        <charset val="1"/>
      </rPr>
      <t>1.</t>
    </r>
    <r>
      <rPr>
        <sz val="10"/>
        <rFont val="DejaVu Sans"/>
        <charset val="134"/>
      </rPr>
      <t>對於火災、風災、水災、地震、停電及停水等緊急災害，訂有符合機構與災害特性之緊急災害應變計畫與作業程序，並應納入</t>
    </r>
    <r>
      <rPr>
        <sz val="10"/>
        <rFont val="Arial"/>
        <charset val="1"/>
      </rPr>
      <t>119</t>
    </r>
    <r>
      <rPr>
        <sz val="10"/>
        <rFont val="DejaVu Sans"/>
        <charset val="134"/>
      </rPr>
      <t xml:space="preserve">火災通報裝置及自動撒水設備之因應方式
</t>
    </r>
    <r>
      <rPr>
        <sz val="10"/>
        <rFont val="Arial"/>
        <charset val="1"/>
      </rPr>
      <t>2.</t>
    </r>
    <r>
      <rPr>
        <sz val="10"/>
        <rFont val="DejaVu Sans"/>
        <charset val="134"/>
      </rPr>
      <t xml:space="preserve">完備之緊急聯絡網及災害應變啟動機制，並具有適當的人力調度及緊急召回機制
</t>
    </r>
    <r>
      <rPr>
        <sz val="10"/>
        <rFont val="Arial"/>
        <charset val="1"/>
      </rPr>
      <t>3.</t>
    </r>
    <r>
      <rPr>
        <sz val="10"/>
        <rFont val="DejaVu Sans"/>
        <charset val="134"/>
      </rPr>
      <t xml:space="preserve">訂有防火及避難安全風險自主檢核計畫，落實執行並有紀錄
</t>
    </r>
    <r>
      <rPr>
        <sz val="10"/>
        <rFont val="Arial"/>
        <charset val="1"/>
      </rPr>
      <t>4.</t>
    </r>
    <r>
      <rPr>
        <sz val="10"/>
        <rFont val="DejaVu Sans"/>
        <charset val="134"/>
      </rPr>
      <t>應每年實施緊急災害應變演練</t>
    </r>
    <r>
      <rPr>
        <sz val="10"/>
        <rFont val="Arial"/>
        <charset val="1"/>
      </rPr>
      <t>2</t>
    </r>
    <r>
      <rPr>
        <sz val="10"/>
        <rFont val="DejaVu Sans"/>
        <charset val="134"/>
      </rPr>
      <t>次</t>
    </r>
    <r>
      <rPr>
        <sz val="10"/>
        <rFont val="Arial"/>
        <charset val="1"/>
      </rPr>
      <t>(</t>
    </r>
    <r>
      <rPr>
        <sz val="10"/>
        <rFont val="DejaVu Sans"/>
        <charset val="134"/>
      </rPr>
      <t>含複合型緊急災害應變演練</t>
    </r>
    <r>
      <rPr>
        <sz val="10"/>
        <rFont val="Arial"/>
        <charset val="1"/>
      </rPr>
      <t>1</t>
    </r>
    <r>
      <rPr>
        <sz val="10"/>
        <rFont val="DejaVu Sans"/>
        <charset val="134"/>
      </rPr>
      <t>次及夜間演練</t>
    </r>
    <r>
      <rPr>
        <sz val="10"/>
        <rFont val="Arial"/>
        <charset val="1"/>
      </rPr>
      <t>1</t>
    </r>
    <r>
      <rPr>
        <sz val="10"/>
        <rFont val="DejaVu Sans"/>
        <charset val="134"/>
      </rPr>
      <t>次</t>
    </r>
    <r>
      <rPr>
        <sz val="10"/>
        <rFont val="Arial"/>
        <charset val="1"/>
      </rPr>
      <t>)</t>
    </r>
  </si>
  <si>
    <r>
      <rPr>
        <sz val="10"/>
        <rFont val="DejaVu Sans"/>
        <charset val="134"/>
      </rPr>
      <t>緊急災害應變計畫</t>
    </r>
    <r>
      <rPr>
        <sz val="10"/>
        <rFont val="Arial"/>
        <charset val="1"/>
      </rPr>
      <t>(EOP)</t>
    </r>
    <r>
      <rPr>
        <sz val="10"/>
        <rFont val="DejaVu Sans"/>
        <charset val="134"/>
      </rPr>
      <t>、緊急聯絡網、演練腳本及紀錄</t>
    </r>
    <r>
      <rPr>
        <sz val="10"/>
        <rFont val="Arial"/>
        <charset val="1"/>
      </rPr>
      <t>(</t>
    </r>
    <r>
      <rPr>
        <sz val="10"/>
        <rFont val="DejaVu Sans"/>
        <charset val="134"/>
      </rPr>
      <t>含照片</t>
    </r>
    <r>
      <rPr>
        <sz val="10"/>
        <rFont val="Arial"/>
        <charset val="1"/>
      </rPr>
      <t>)</t>
    </r>
    <r>
      <rPr>
        <sz val="10"/>
        <rFont val="DejaVu Sans"/>
        <charset val="134"/>
      </rPr>
      <t>、演練檢討改善方案</t>
    </r>
  </si>
  <si>
    <t>C12</t>
  </si>
  <si>
    <t>訂定符合機構住民之疏散策略及持續照顧作業程序，並落實照顧人力之緊急應變能力</t>
  </si>
  <si>
    <r>
      <rPr>
        <sz val="10"/>
        <rFont val="Arial"/>
        <charset val="1"/>
      </rPr>
      <t>1.</t>
    </r>
    <r>
      <rPr>
        <sz val="10"/>
        <rFont val="DejaVu Sans"/>
        <charset val="134"/>
      </rPr>
      <t>機構應於各樓層出入口張貼緊急避難平面圖</t>
    </r>
    <r>
      <rPr>
        <sz val="10"/>
        <rFont val="Arial"/>
        <charset val="1"/>
      </rPr>
      <t>(</t>
    </r>
    <r>
      <rPr>
        <sz val="10"/>
        <rFont val="DejaVu Sans"/>
        <charset val="134"/>
      </rPr>
      <t>或逃生圖</t>
    </r>
    <r>
      <rPr>
        <sz val="10"/>
        <rFont val="Arial"/>
        <charset val="1"/>
      </rPr>
      <t>)</t>
    </r>
    <r>
      <rPr>
        <sz val="10"/>
        <rFont val="DejaVu Sans"/>
        <charset val="134"/>
      </rPr>
      <t xml:space="preserve">，明確訂定各樓層住民疏散運送之順序與策略
</t>
    </r>
    <r>
      <rPr>
        <sz val="10"/>
        <rFont val="Arial"/>
        <charset val="1"/>
      </rPr>
      <t>2.</t>
    </r>
    <r>
      <rPr>
        <sz val="10"/>
        <rFont val="DejaVu Sans"/>
        <charset val="134"/>
      </rPr>
      <t>緊急避難平面圖</t>
    </r>
    <r>
      <rPr>
        <sz val="10"/>
        <rFont val="Arial"/>
        <charset val="1"/>
      </rPr>
      <t>(</t>
    </r>
    <r>
      <rPr>
        <sz val="10"/>
        <rFont val="DejaVu Sans"/>
        <charset val="134"/>
      </rPr>
      <t>或逃生圖</t>
    </r>
    <r>
      <rPr>
        <sz val="10"/>
        <rFont val="Arial"/>
        <charset val="1"/>
      </rPr>
      <t>)</t>
    </r>
    <r>
      <rPr>
        <sz val="10"/>
        <rFont val="DejaVu Sans"/>
        <charset val="134"/>
      </rPr>
      <t>應比例及適當大小</t>
    </r>
    <r>
      <rPr>
        <sz val="10"/>
        <rFont val="Arial"/>
        <charset val="1"/>
      </rPr>
      <t>(</t>
    </r>
    <r>
      <rPr>
        <sz val="10"/>
        <rFont val="DejaVu Sans"/>
        <charset val="134"/>
      </rPr>
      <t>應至少</t>
    </r>
    <r>
      <rPr>
        <sz val="10"/>
        <rFont val="Arial"/>
        <charset val="1"/>
      </rPr>
      <t>A3</t>
    </r>
    <r>
      <rPr>
        <sz val="10"/>
        <rFont val="DejaVu Sans"/>
        <charset val="134"/>
      </rPr>
      <t>尺寸</t>
    </r>
    <r>
      <rPr>
        <sz val="10"/>
        <rFont val="Arial"/>
        <charset val="1"/>
      </rPr>
      <t>)</t>
    </r>
    <r>
      <rPr>
        <sz val="10"/>
        <rFont val="DejaVu Sans"/>
        <charset val="134"/>
      </rPr>
      <t xml:space="preserve">，且標示所在位置並與機構現場方向、方位符合
</t>
    </r>
    <r>
      <rPr>
        <sz val="10"/>
        <rFont val="Arial"/>
        <charset val="1"/>
      </rPr>
      <t>3.</t>
    </r>
    <r>
      <rPr>
        <sz val="10"/>
        <rFont val="DejaVu Sans"/>
        <charset val="134"/>
      </rPr>
      <t xml:space="preserve">應於各層出入口、樓間張貼符合比例、可供消防搶救辨識之圖面
</t>
    </r>
    <r>
      <rPr>
        <sz val="10"/>
        <rFont val="Arial"/>
        <charset val="1"/>
      </rPr>
      <t>4.</t>
    </r>
    <r>
      <rPr>
        <sz val="10"/>
        <rFont val="DejaVu Sans"/>
        <charset val="134"/>
      </rPr>
      <t>安排防火管理人、照顧服務員</t>
    </r>
    <r>
      <rPr>
        <sz val="10"/>
        <rFont val="Arial"/>
        <charset val="1"/>
      </rPr>
      <t>(</t>
    </r>
    <r>
      <rPr>
        <sz val="10"/>
        <rFont val="DejaVu Sans"/>
        <charset val="134"/>
      </rPr>
      <t>含外籍</t>
    </r>
    <r>
      <rPr>
        <sz val="10"/>
        <rFont val="Arial"/>
        <charset val="1"/>
      </rPr>
      <t>)</t>
    </r>
    <r>
      <rPr>
        <sz val="10"/>
        <rFont val="DejaVu Sans"/>
        <charset val="134"/>
      </rPr>
      <t>、護理人員、替代役、家屬自聘看護工參與災害風險辨識、溝通及防救災之教育訓練</t>
    </r>
  </si>
  <si>
    <r>
      <rPr>
        <sz val="10"/>
        <rFont val="DejaVu Sans"/>
        <charset val="134"/>
      </rPr>
      <t>緊急避難平面圖</t>
    </r>
    <r>
      <rPr>
        <sz val="10"/>
        <rFont val="Arial"/>
        <charset val="1"/>
      </rPr>
      <t>(A3</t>
    </r>
    <r>
      <rPr>
        <sz val="10"/>
        <rFont val="DejaVu Sans"/>
        <charset val="134"/>
      </rPr>
      <t>以上</t>
    </r>
    <r>
      <rPr>
        <sz val="10"/>
        <rFont val="Arial"/>
        <charset val="1"/>
      </rPr>
      <t>)</t>
    </r>
    <r>
      <rPr>
        <sz val="10"/>
        <rFont val="DejaVu Sans"/>
        <charset val="134"/>
      </rPr>
      <t>、疏散策略文件、防救災教育訓練紀錄</t>
    </r>
  </si>
  <si>
    <t>C13</t>
  </si>
  <si>
    <t>隔離空間設置及使用情形</t>
  </si>
  <si>
    <r>
      <rPr>
        <sz val="10"/>
        <rFont val="Arial"/>
        <charset val="1"/>
      </rPr>
      <t>1.</t>
    </r>
    <r>
      <rPr>
        <sz val="10"/>
        <rFont val="DejaVu Sans"/>
        <charset val="134"/>
      </rPr>
      <t xml:space="preserve">設有隔離空間且在立案面積內，並具獨立空調、衛浴設備及緊急呼叫設備
</t>
    </r>
    <r>
      <rPr>
        <sz val="10"/>
        <rFont val="Arial"/>
        <charset val="1"/>
      </rPr>
      <t>2.</t>
    </r>
    <r>
      <rPr>
        <sz val="10"/>
        <rFont val="DejaVu Sans"/>
        <charset val="134"/>
      </rPr>
      <t xml:space="preserve">隔離空間、位置符合感染管制相關規定
</t>
    </r>
    <r>
      <rPr>
        <sz val="10"/>
        <rFont val="Arial"/>
        <charset val="1"/>
      </rPr>
      <t>3.</t>
    </r>
    <r>
      <rPr>
        <sz val="10"/>
        <rFont val="DejaVu Sans"/>
        <charset val="134"/>
      </rPr>
      <t xml:space="preserve">明確規範隔離空間使用對象
</t>
    </r>
    <r>
      <rPr>
        <sz val="10"/>
        <rFont val="Arial"/>
        <charset val="1"/>
      </rPr>
      <t>4.</t>
    </r>
    <r>
      <rPr>
        <sz val="10"/>
        <rFont val="DejaVu Sans"/>
        <charset val="134"/>
      </rPr>
      <t>訂有各類</t>
    </r>
    <r>
      <rPr>
        <sz val="10"/>
        <rFont val="Arial"/>
        <charset val="1"/>
      </rPr>
      <t>(</t>
    </r>
    <r>
      <rPr>
        <sz val="10"/>
        <rFont val="DejaVu Sans"/>
        <charset val="134"/>
      </rPr>
      <t>應包含呼吸道、泌尿道、腸道、皮膚性感染、住民轉換之消毒等項目</t>
    </r>
    <r>
      <rPr>
        <sz val="10"/>
        <rFont val="Arial"/>
        <charset val="1"/>
      </rPr>
      <t>)</t>
    </r>
    <r>
      <rPr>
        <sz val="10"/>
        <rFont val="DejaVu Sans"/>
        <charset val="134"/>
      </rPr>
      <t>隔離措施標準作業流程</t>
    </r>
  </si>
  <si>
    <r>
      <rPr>
        <sz val="10"/>
        <rFont val="DejaVu Sans"/>
        <charset val="134"/>
      </rPr>
      <t>隔離空間使用規範、隔離措施</t>
    </r>
    <r>
      <rPr>
        <sz val="10"/>
        <rFont val="Arial"/>
        <charset val="1"/>
      </rPr>
      <t>SOP</t>
    </r>
    <r>
      <rPr>
        <sz val="10"/>
        <rFont val="DejaVu Sans"/>
        <charset val="134"/>
      </rPr>
      <t>、隔離空間設備檢查紀錄</t>
    </r>
  </si>
  <si>
    <t>C14</t>
  </si>
  <si>
    <t>設備、儀器維護及辦理人員操作訓練情形</t>
  </si>
  <si>
    <r>
      <rPr>
        <sz val="10"/>
        <rFont val="Arial"/>
        <charset val="1"/>
      </rPr>
      <t>1.</t>
    </r>
    <r>
      <rPr>
        <sz val="10"/>
        <rFont val="DejaVu Sans"/>
        <charset val="134"/>
      </rPr>
      <t xml:space="preserve">訂有設備、儀器定期維護之相關作業規定及人員操作訓練辦法
</t>
    </r>
    <r>
      <rPr>
        <sz val="10"/>
        <rFont val="Arial"/>
        <charset val="1"/>
      </rPr>
      <t>2.</t>
    </r>
    <r>
      <rPr>
        <sz val="10"/>
        <rFont val="DejaVu Sans"/>
        <charset val="134"/>
      </rPr>
      <t xml:space="preserve">廠商對於儀器設備有維護或定期校正之機制，並有紀錄
</t>
    </r>
    <r>
      <rPr>
        <sz val="10"/>
        <rFont val="Arial"/>
        <charset val="1"/>
      </rPr>
      <t>3.</t>
    </r>
    <r>
      <rPr>
        <sz val="10"/>
        <rFont val="DejaVu Sans"/>
        <charset val="134"/>
      </rPr>
      <t xml:space="preserve">於購入新設備及平時教育訓練時安排相關設備、儀器操作課程，並有紀錄
</t>
    </r>
    <r>
      <rPr>
        <sz val="10"/>
        <rFont val="Arial"/>
        <charset val="1"/>
      </rPr>
      <t>4.</t>
    </r>
    <r>
      <rPr>
        <sz val="10"/>
        <rFont val="DejaVu Sans"/>
        <charset val="134"/>
      </rPr>
      <t>定期查核各類設備、儀器操作技術，並備有紀錄</t>
    </r>
  </si>
  <si>
    <t>設備儀器維護辦法、操作訓練紀錄、定期校正紀錄、查核紀錄</t>
  </si>
  <si>
    <t>C15</t>
  </si>
  <si>
    <t>護理站設施設備設置情形</t>
  </si>
  <si>
    <r>
      <rPr>
        <sz val="10"/>
        <rFont val="Arial"/>
        <charset val="1"/>
      </rPr>
      <t>1.</t>
    </r>
    <r>
      <rPr>
        <sz val="10"/>
        <rFont val="DejaVu Sans"/>
        <charset val="134"/>
      </rPr>
      <t xml:space="preserve">護理站應有基本急救設備、準備室、護理紀錄櫃、藥品及醫療器材存放櫃、工作台、治療車、洗手設備及輪椅
</t>
    </r>
    <r>
      <rPr>
        <sz val="10"/>
        <rFont val="Arial"/>
        <charset val="1"/>
      </rPr>
      <t>2.</t>
    </r>
    <r>
      <rPr>
        <sz val="10"/>
        <rFont val="DejaVu Sans"/>
        <charset val="134"/>
      </rPr>
      <t xml:space="preserve">各項設備定期維護且功能正常，藥品須在效期內
</t>
    </r>
    <r>
      <rPr>
        <sz val="10"/>
        <rFont val="Arial"/>
        <charset val="1"/>
      </rPr>
      <t>3.</t>
    </r>
    <r>
      <rPr>
        <sz val="10"/>
        <rFont val="DejaVu Sans"/>
        <charset val="134"/>
      </rPr>
      <t>每層樓護理站或簡易護理工作站</t>
    </r>
    <r>
      <rPr>
        <sz val="10"/>
        <rFont val="Arial"/>
        <charset val="1"/>
      </rPr>
      <t>(</t>
    </r>
    <r>
      <rPr>
        <sz val="10"/>
        <rFont val="DejaVu Sans"/>
        <charset val="134"/>
      </rPr>
      <t>機構內至少設有一處護理站</t>
    </r>
    <r>
      <rPr>
        <sz val="10"/>
        <rFont val="Arial"/>
        <charset val="1"/>
      </rPr>
      <t>)</t>
    </r>
  </si>
  <si>
    <t>護理站設備清單、急救設備配備項目表、設備維護及藥品效期檢查紀錄</t>
  </si>
  <si>
    <t>C16</t>
  </si>
  <si>
    <t>機構飲用供水設備安全及清潔情形</t>
  </si>
  <si>
    <r>
      <rPr>
        <sz val="10"/>
        <rFont val="Arial"/>
        <charset val="1"/>
      </rPr>
      <t>1.</t>
    </r>
    <r>
      <rPr>
        <sz val="10"/>
        <rFont val="DejaVu Sans"/>
        <charset val="134"/>
      </rPr>
      <t xml:space="preserve">自來水塔每半年定期清潔保養並有紀錄
</t>
    </r>
    <r>
      <rPr>
        <sz val="10"/>
        <rFont val="Arial"/>
        <charset val="1"/>
      </rPr>
      <t>2.</t>
    </r>
    <r>
      <rPr>
        <sz val="10"/>
        <rFont val="DejaVu Sans"/>
        <charset val="134"/>
      </rPr>
      <t>自來水經飲用水設備處理後水質，每</t>
    </r>
    <r>
      <rPr>
        <sz val="10"/>
        <rFont val="Arial"/>
        <charset val="1"/>
      </rPr>
      <t>3</t>
    </r>
    <r>
      <rPr>
        <sz val="10"/>
        <rFont val="DejaVu Sans"/>
        <charset val="134"/>
      </rPr>
      <t xml:space="preserve">個月檢測水質之大腸桿菌群，且有檢驗報告
</t>
    </r>
    <r>
      <rPr>
        <sz val="10"/>
        <rFont val="Arial"/>
        <charset val="1"/>
      </rPr>
      <t>3.</t>
    </r>
    <r>
      <rPr>
        <sz val="10"/>
        <rFont val="DejaVu Sans"/>
        <charset val="134"/>
      </rPr>
      <t>非使用自來水者，須經飲用水設備處理，每</t>
    </r>
    <r>
      <rPr>
        <sz val="10"/>
        <rFont val="Arial"/>
        <charset val="1"/>
      </rPr>
      <t>3</t>
    </r>
    <r>
      <rPr>
        <sz val="10"/>
        <rFont val="DejaVu Sans"/>
        <charset val="134"/>
      </rPr>
      <t xml:space="preserve">個月檢測水質之大腸桿菌群
</t>
    </r>
    <r>
      <rPr>
        <sz val="10"/>
        <rFont val="Arial"/>
        <charset val="1"/>
      </rPr>
      <t>4.</t>
    </r>
    <r>
      <rPr>
        <sz val="10"/>
        <rFont val="DejaVu Sans"/>
        <charset val="134"/>
      </rPr>
      <t xml:space="preserve">使用包裝用水者，需附水質檢驗合格證明，並須在有效期限內
</t>
    </r>
    <r>
      <rPr>
        <sz val="10"/>
        <rFont val="Arial"/>
        <charset val="1"/>
      </rPr>
      <t>5.</t>
    </r>
    <r>
      <rPr>
        <sz val="10"/>
        <rFont val="DejaVu Sans"/>
        <charset val="134"/>
      </rPr>
      <t>飲水機每月定期檢查保養並有紀錄</t>
    </r>
  </si>
  <si>
    <t>水塔清潔紀錄、水質檢測報告、飲水機保養紀錄</t>
  </si>
  <si>
    <r>
      <rPr>
        <b/>
        <sz val="14"/>
        <color rgb="FF843C0C"/>
        <rFont val="Arial"/>
        <charset val="1"/>
      </rPr>
      <t>D</t>
    </r>
    <r>
      <rPr>
        <b/>
        <sz val="14"/>
        <color rgb="FF843C0C"/>
        <rFont val="DejaVu Sans"/>
        <charset val="134"/>
      </rPr>
      <t xml:space="preserve">、個案權益保障 </t>
    </r>
    <r>
      <rPr>
        <b/>
        <sz val="14"/>
        <color rgb="FF843C0C"/>
        <rFont val="Arial"/>
        <charset val="1"/>
      </rPr>
      <t>(</t>
    </r>
    <r>
      <rPr>
        <b/>
        <sz val="14"/>
        <color rgb="FF843C0C"/>
        <rFont val="DejaVu Sans"/>
        <charset val="134"/>
      </rPr>
      <t>占評分總分</t>
    </r>
    <r>
      <rPr>
        <b/>
        <sz val="14"/>
        <color rgb="FF843C0C"/>
        <rFont val="Arial"/>
        <charset val="1"/>
      </rPr>
      <t>13%</t>
    </r>
    <r>
      <rPr>
        <b/>
        <sz val="14"/>
        <color rgb="FF843C0C"/>
        <rFont val="DejaVu Sans"/>
        <charset val="134"/>
      </rPr>
      <t>，共</t>
    </r>
    <r>
      <rPr>
        <b/>
        <sz val="14"/>
        <color rgb="FF843C0C"/>
        <rFont val="Arial"/>
        <charset val="1"/>
      </rPr>
      <t>9</t>
    </r>
    <r>
      <rPr>
        <b/>
        <sz val="14"/>
        <color rgb="FF843C0C"/>
        <rFont val="DejaVu Sans"/>
        <charset val="134"/>
      </rPr>
      <t>項指標</t>
    </r>
    <r>
      <rPr>
        <b/>
        <sz val="14"/>
        <color rgb="FF843C0C"/>
        <rFont val="Arial"/>
        <charset val="1"/>
      </rPr>
      <t>)</t>
    </r>
  </si>
  <si>
    <t>D1</t>
  </si>
  <si>
    <t>服務對象個案資料管理、統計分析與應用及保密情形</t>
  </si>
  <si>
    <r>
      <rPr>
        <sz val="10"/>
        <rFont val="Arial"/>
        <charset val="1"/>
      </rPr>
      <t>1.</t>
    </r>
    <r>
      <rPr>
        <sz val="10"/>
        <rFont val="DejaVu Sans"/>
        <charset val="134"/>
      </rPr>
      <t xml:space="preserve">管理系統者明確訂定各使用者之權限，確保服務對象資料不外洩
</t>
    </r>
    <r>
      <rPr>
        <sz val="10"/>
        <rFont val="Arial"/>
        <charset val="1"/>
      </rPr>
      <t>2.</t>
    </r>
    <r>
      <rPr>
        <sz val="10"/>
        <rFont val="DejaVu Sans"/>
        <charset val="134"/>
      </rPr>
      <t>訂有服務對象管理系統之管理辦法</t>
    </r>
    <r>
      <rPr>
        <sz val="10"/>
        <rFont val="Arial"/>
        <charset val="1"/>
      </rPr>
      <t>(</t>
    </r>
    <r>
      <rPr>
        <sz val="10"/>
        <rFont val="DejaVu Sans"/>
        <charset val="134"/>
      </rPr>
      <t>含個人資料保護法、肖像權同意書、借用標準及流程</t>
    </r>
    <r>
      <rPr>
        <sz val="10"/>
        <rFont val="Arial"/>
        <charset val="1"/>
      </rPr>
      <t>)
3.</t>
    </r>
    <r>
      <rPr>
        <sz val="10"/>
        <rFont val="DejaVu Sans"/>
        <charset val="134"/>
      </rPr>
      <t xml:space="preserve">對於服務對象管理系統之資料進行統計、分析，並配合衛生福利部政策上傳照顧服務資料
</t>
    </r>
    <r>
      <rPr>
        <sz val="10"/>
        <rFont val="Arial"/>
        <charset val="1"/>
      </rPr>
      <t>4.</t>
    </r>
    <r>
      <rPr>
        <sz val="10"/>
        <rFont val="DejaVu Sans"/>
        <charset val="134"/>
      </rPr>
      <t>統計分析結果有具體體回應或改善措施</t>
    </r>
  </si>
  <si>
    <t>個案資料管理辦法、肖像權同意書、統計分析報告、改善措施紀錄</t>
  </si>
  <si>
    <t>D2</t>
  </si>
  <si>
    <t>與入住委託人訂立契約情形</t>
  </si>
  <si>
    <r>
      <rPr>
        <sz val="10"/>
        <rFont val="Arial"/>
        <charset val="1"/>
      </rPr>
      <t>1.</t>
    </r>
    <r>
      <rPr>
        <sz val="10"/>
        <rFont val="DejaVu Sans"/>
        <charset val="134"/>
      </rPr>
      <t>應與委託人</t>
    </r>
    <r>
      <rPr>
        <sz val="10"/>
        <rFont val="Arial"/>
        <charset val="1"/>
      </rPr>
      <t>(</t>
    </r>
    <r>
      <rPr>
        <sz val="10"/>
        <rFont val="DejaVu Sans"/>
        <charset val="134"/>
      </rPr>
      <t>本人或家屬、監護人、代理人</t>
    </r>
    <r>
      <rPr>
        <sz val="10"/>
        <rFont val="Arial"/>
        <charset val="1"/>
      </rPr>
      <t>)</t>
    </r>
    <r>
      <rPr>
        <sz val="10"/>
        <rFont val="DejaVu Sans"/>
        <charset val="134"/>
      </rPr>
      <t xml:space="preserve">訂立契約
</t>
    </r>
    <r>
      <rPr>
        <sz val="10"/>
        <rFont val="Arial"/>
        <charset val="1"/>
      </rPr>
      <t>2.</t>
    </r>
    <r>
      <rPr>
        <sz val="10"/>
        <rFont val="DejaVu Sans"/>
        <charset val="134"/>
      </rPr>
      <t>契約應給予服務對象至少</t>
    </r>
    <r>
      <rPr>
        <sz val="10"/>
        <rFont val="Arial"/>
        <charset val="1"/>
      </rPr>
      <t>5</t>
    </r>
    <r>
      <rPr>
        <sz val="10"/>
        <rFont val="DejaVu Sans"/>
        <charset val="134"/>
      </rPr>
      <t xml:space="preserve">天的審閱期
</t>
    </r>
    <r>
      <rPr>
        <sz val="10"/>
        <rFont val="Arial"/>
        <charset val="1"/>
      </rPr>
      <t>3.</t>
    </r>
    <r>
      <rPr>
        <sz val="10"/>
        <rFont val="DejaVu Sans"/>
        <charset val="134"/>
      </rPr>
      <t>契約內容應完備</t>
    </r>
    <r>
      <rPr>
        <sz val="10"/>
        <rFont val="Arial"/>
        <charset val="1"/>
      </rPr>
      <t>(</t>
    </r>
    <r>
      <rPr>
        <sz val="10"/>
        <rFont val="DejaVu Sans"/>
        <charset val="134"/>
      </rPr>
      <t>明定有服務項目、收費標準、雙方之權利義務及申訴管道</t>
    </r>
    <r>
      <rPr>
        <sz val="10"/>
        <rFont val="Arial"/>
        <charset val="1"/>
      </rPr>
      <t>)
4.</t>
    </r>
    <r>
      <rPr>
        <sz val="10"/>
        <rFont val="DejaVu Sans"/>
        <charset val="134"/>
      </rPr>
      <t>當相關法規、服務對象、服務提供者條件變更時應更換契約</t>
    </r>
  </si>
  <si>
    <t>契約範本、已簽訂契約存檔、契約審閱紀錄</t>
  </si>
  <si>
    <t>D3</t>
  </si>
  <si>
    <t>服務對象生活注意事項及家屬來訪注意事項訂定情形</t>
  </si>
  <si>
    <r>
      <rPr>
        <sz val="10"/>
        <rFont val="Arial"/>
        <charset val="1"/>
      </rPr>
      <t>1.</t>
    </r>
    <r>
      <rPr>
        <sz val="10"/>
        <rFont val="DejaVu Sans"/>
        <charset val="134"/>
      </rPr>
      <t xml:space="preserve">訂有服務對象生活注意事項及家屬來訪注意事項
</t>
    </r>
    <r>
      <rPr>
        <sz val="10"/>
        <rFont val="Arial"/>
        <charset val="1"/>
      </rPr>
      <t>2.</t>
    </r>
    <r>
      <rPr>
        <sz val="10"/>
        <rFont val="DejaVu Sans"/>
        <charset val="134"/>
      </rPr>
      <t xml:space="preserve">前項注意事項應清楚告知服務對象及家屬並有紀錄，且於明顯處公告
</t>
    </r>
    <r>
      <rPr>
        <sz val="10"/>
        <rFont val="Arial"/>
        <charset val="1"/>
      </rPr>
      <t>3.</t>
    </r>
    <r>
      <rPr>
        <sz val="10"/>
        <rFont val="DejaVu Sans"/>
        <charset val="134"/>
      </rPr>
      <t xml:space="preserve">若有違反注意事項，應有處理或調整，並有紀錄
</t>
    </r>
    <r>
      <rPr>
        <sz val="10"/>
        <rFont val="Arial"/>
        <charset val="1"/>
      </rPr>
      <t>4.</t>
    </r>
    <r>
      <rPr>
        <sz val="10"/>
        <rFont val="DejaVu Sans"/>
        <charset val="134"/>
      </rPr>
      <t>依服務對象或家屬的狀況或反應適時處理或調整</t>
    </r>
  </si>
  <si>
    <t>生活注意事項、家屬來訪注意事項、告知紀錄、公告照片</t>
  </si>
  <si>
    <t>D4</t>
  </si>
  <si>
    <t>服務對象或家屬申訴意見反應辦理情形</t>
  </si>
  <si>
    <r>
      <rPr>
        <sz val="10"/>
        <rFont val="Arial"/>
        <charset val="1"/>
      </rPr>
      <t>1.</t>
    </r>
    <r>
      <rPr>
        <sz val="10"/>
        <rFont val="DejaVu Sans"/>
        <charset val="134"/>
      </rPr>
      <t>意見反應及申訴處理流程</t>
    </r>
    <r>
      <rPr>
        <sz val="10"/>
        <rFont val="Arial"/>
        <charset val="1"/>
      </rPr>
      <t>(</t>
    </r>
    <r>
      <rPr>
        <sz val="10"/>
        <rFont val="DejaVu Sans"/>
        <charset val="134"/>
      </rPr>
      <t>含申訴管道</t>
    </r>
    <r>
      <rPr>
        <sz val="10"/>
        <rFont val="Arial"/>
        <charset val="1"/>
      </rPr>
      <t>)</t>
    </r>
    <r>
      <rPr>
        <sz val="10"/>
        <rFont val="DejaVu Sans"/>
        <charset val="134"/>
      </rPr>
      <t xml:space="preserve">，應張貼於機構明顯處
</t>
    </r>
    <r>
      <rPr>
        <sz val="10"/>
        <rFont val="Arial"/>
        <charset val="1"/>
      </rPr>
      <t>2.</t>
    </r>
    <r>
      <rPr>
        <sz val="10"/>
        <rFont val="DejaVu Sans"/>
        <charset val="134"/>
      </rPr>
      <t>設置合適的意見反應</t>
    </r>
    <r>
      <rPr>
        <sz val="10"/>
        <rFont val="Arial"/>
        <charset val="1"/>
      </rPr>
      <t>/</t>
    </r>
    <r>
      <rPr>
        <sz val="10"/>
        <rFont val="DejaVu Sans"/>
        <charset val="134"/>
      </rPr>
      <t xml:space="preserve">申訴管道
</t>
    </r>
    <r>
      <rPr>
        <sz val="10"/>
        <rFont val="Arial"/>
        <charset val="1"/>
      </rPr>
      <t>3.</t>
    </r>
    <r>
      <rPr>
        <sz val="10"/>
        <rFont val="DejaVu Sans"/>
        <charset val="134"/>
      </rPr>
      <t xml:space="preserve">有專人處理意見反應及申訴案件，申訴處理結果應回覆申訴者，並有紀錄
</t>
    </r>
    <r>
      <rPr>
        <sz val="10"/>
        <rFont val="Arial"/>
        <charset val="1"/>
      </rPr>
      <t>4.</t>
    </r>
    <r>
      <rPr>
        <sz val="10"/>
        <rFont val="DejaVu Sans"/>
        <charset val="134"/>
      </rPr>
      <t>每年分析意見反應及申訴案件，留有紀錄及追蹤</t>
    </r>
  </si>
  <si>
    <r>
      <rPr>
        <sz val="10"/>
        <rFont val="DejaVu Sans"/>
        <charset val="134"/>
      </rPr>
      <t>申訴處理流程、意見反應</t>
    </r>
    <r>
      <rPr>
        <sz val="10"/>
        <rFont val="Arial"/>
        <charset val="1"/>
      </rPr>
      <t>/</t>
    </r>
    <r>
      <rPr>
        <sz val="10"/>
        <rFont val="DejaVu Sans"/>
        <charset val="134"/>
      </rPr>
      <t>申訴管道</t>
    </r>
    <r>
      <rPr>
        <sz val="10"/>
        <rFont val="Arial"/>
        <charset val="1"/>
      </rPr>
      <t>(</t>
    </r>
    <r>
      <rPr>
        <sz val="10"/>
        <rFont val="DejaVu Sans"/>
        <charset val="134"/>
      </rPr>
      <t>意見箱、專線等</t>
    </r>
    <r>
      <rPr>
        <sz val="10"/>
        <rFont val="Arial"/>
        <charset val="1"/>
      </rPr>
      <t>)</t>
    </r>
    <r>
      <rPr>
        <sz val="10"/>
        <rFont val="DejaVu Sans"/>
        <charset val="134"/>
      </rPr>
      <t>、申訴案件處理紀錄、年度分析報告</t>
    </r>
  </si>
  <si>
    <t>D5</t>
  </si>
  <si>
    <t>尊重服務對象信仰情形</t>
  </si>
  <si>
    <r>
      <rPr>
        <sz val="10"/>
        <rFont val="Arial"/>
        <charset val="1"/>
      </rPr>
      <t>1.</t>
    </r>
    <r>
      <rPr>
        <sz val="10"/>
        <rFont val="DejaVu Sans"/>
        <charset val="134"/>
      </rPr>
      <t xml:space="preserve">尊重服務對象宗教信仰
</t>
    </r>
    <r>
      <rPr>
        <sz val="10"/>
        <rFont val="Arial"/>
        <charset val="1"/>
      </rPr>
      <t>2.</t>
    </r>
    <r>
      <rPr>
        <sz val="10"/>
        <rFont val="DejaVu Sans"/>
        <charset val="134"/>
      </rPr>
      <t xml:space="preserve">服務對象擁有自行決定參與宗教活動的機會
</t>
    </r>
    <r>
      <rPr>
        <sz val="10"/>
        <rFont val="Arial"/>
        <charset val="1"/>
      </rPr>
      <t>3.</t>
    </r>
    <r>
      <rPr>
        <sz val="10"/>
        <rFont val="DejaVu Sans"/>
        <charset val="134"/>
      </rPr>
      <t xml:space="preserve">有提供靈性關懷服務，並有服務紀錄
</t>
    </r>
    <r>
      <rPr>
        <sz val="10"/>
        <rFont val="Arial"/>
        <charset val="1"/>
      </rPr>
      <t>4.</t>
    </r>
    <r>
      <rPr>
        <sz val="10"/>
        <rFont val="DejaVu Sans"/>
        <charset val="134"/>
      </rPr>
      <t>有簡易宗教設施，並實際提供服務對象使用</t>
    </r>
  </si>
  <si>
    <t>靈性關懷服務紀錄、宗教設施照片</t>
  </si>
  <si>
    <t>D6</t>
  </si>
  <si>
    <t>居家情境佈置情形</t>
  </si>
  <si>
    <r>
      <rPr>
        <sz val="10"/>
        <rFont val="Arial"/>
        <charset val="1"/>
      </rPr>
      <t>1.</t>
    </r>
    <r>
      <rPr>
        <sz val="10"/>
        <rFont val="DejaVu Sans"/>
        <charset val="134"/>
      </rPr>
      <t>個人空間隱私之維護，床與床之間應具隔離視線之屏障物</t>
    </r>
    <r>
      <rPr>
        <sz val="10"/>
        <rFont val="Arial"/>
        <charset val="1"/>
      </rPr>
      <t>(</t>
    </r>
    <r>
      <rPr>
        <sz val="10"/>
        <rFont val="DejaVu Sans"/>
        <charset val="134"/>
      </rPr>
      <t>如圍簾</t>
    </r>
    <r>
      <rPr>
        <sz val="10"/>
        <rFont val="Arial"/>
        <charset val="1"/>
      </rPr>
      <t>)
2.</t>
    </r>
    <r>
      <rPr>
        <sz val="10"/>
        <rFont val="DejaVu Sans"/>
        <charset val="134"/>
      </rPr>
      <t xml:space="preserve">個人空間隱私之維護，監視器未設置於服務對象寢室及浴廁內
</t>
    </r>
    <r>
      <rPr>
        <sz val="10"/>
        <rFont val="Arial"/>
        <charset val="1"/>
      </rPr>
      <t>3.</t>
    </r>
    <r>
      <rPr>
        <sz val="10"/>
        <rFont val="DejaVu Sans"/>
        <charset val="134"/>
      </rPr>
      <t xml:space="preserve">床位旁有可擺放私人物品的櫥櫃或床頭櫃
</t>
    </r>
    <r>
      <rPr>
        <sz val="10"/>
        <rFont val="Arial"/>
        <charset val="1"/>
      </rPr>
      <t>4.</t>
    </r>
    <r>
      <rPr>
        <sz val="10"/>
        <rFont val="DejaVu Sans"/>
        <charset val="134"/>
      </rPr>
      <t>允許服務對象可攜帶個人物品，佈置自己的空間環境，且不危及公共安全</t>
    </r>
  </si>
  <si>
    <t>寢室環境照片、隱私維護措施紀錄</t>
  </si>
  <si>
    <t>D7</t>
  </si>
  <si>
    <t>服務對象財物管理及死亡遺產處理情形</t>
  </si>
  <si>
    <r>
      <rPr>
        <sz val="10"/>
        <rFont val="Arial"/>
        <charset val="1"/>
      </rPr>
      <t>1.</t>
    </r>
    <r>
      <rPr>
        <sz val="10"/>
        <rFont val="DejaVu Sans"/>
        <charset val="134"/>
      </rPr>
      <t>訂有服務對象財物管理</t>
    </r>
    <r>
      <rPr>
        <sz val="10"/>
        <rFont val="Arial"/>
        <charset val="1"/>
      </rPr>
      <t>(</t>
    </r>
    <r>
      <rPr>
        <sz val="10"/>
        <rFont val="DejaVu Sans"/>
        <charset val="134"/>
      </rPr>
      <t>如退休金代墊、代購費用管理、信託管理、重要財物保管、死亡遺產處理等</t>
    </r>
    <r>
      <rPr>
        <sz val="10"/>
        <rFont val="Arial"/>
        <charset val="1"/>
      </rPr>
      <t>)</t>
    </r>
    <r>
      <rPr>
        <sz val="10"/>
        <rFont val="DejaVu Sans"/>
        <charset val="134"/>
      </rPr>
      <t xml:space="preserve">辦法
</t>
    </r>
    <r>
      <rPr>
        <sz val="10"/>
        <rFont val="Arial"/>
        <charset val="1"/>
      </rPr>
      <t>2.</t>
    </r>
    <r>
      <rPr>
        <sz val="10"/>
        <rFont val="DejaVu Sans"/>
        <charset val="134"/>
      </rPr>
      <t xml:space="preserve">清楚告知服務對象及家屬相關規定並有紀錄
</t>
    </r>
    <r>
      <rPr>
        <sz val="10"/>
        <rFont val="Arial"/>
        <charset val="1"/>
      </rPr>
      <t>3.</t>
    </r>
    <r>
      <rPr>
        <sz val="10"/>
        <rFont val="DejaVu Sans"/>
        <charset val="134"/>
      </rPr>
      <t>有專人協助處理且有紀錄</t>
    </r>
  </si>
  <si>
    <t>財物管理辦法、服務對象財物管理紀錄、遺產處理流程</t>
  </si>
  <si>
    <t>D8</t>
  </si>
  <si>
    <t>提供緩和醫療及臨終照護措施</t>
  </si>
  <si>
    <r>
      <rPr>
        <sz val="10"/>
        <rFont val="Arial"/>
        <charset val="1"/>
      </rPr>
      <t>1.</t>
    </r>
    <r>
      <rPr>
        <sz val="10"/>
        <rFont val="DejaVu Sans"/>
        <charset val="134"/>
      </rPr>
      <t>提供服務對象或家屬安寧緩和醫療</t>
    </r>
    <r>
      <rPr>
        <sz val="10"/>
        <rFont val="Arial"/>
        <charset val="1"/>
      </rPr>
      <t>(</t>
    </r>
    <r>
      <rPr>
        <sz val="10"/>
        <rFont val="DejaVu Sans"/>
        <charset val="134"/>
      </rPr>
      <t>如不施行心肺復甦術簽立、維生醫療抉擇</t>
    </r>
    <r>
      <rPr>
        <sz val="10"/>
        <rFont val="Arial"/>
        <charset val="1"/>
      </rPr>
      <t>)</t>
    </r>
    <r>
      <rPr>
        <sz val="10"/>
        <rFont val="DejaVu Sans"/>
        <charset val="134"/>
      </rPr>
      <t xml:space="preserve">或病人自主權利法相關資訊
</t>
    </r>
    <r>
      <rPr>
        <sz val="10"/>
        <rFont val="Arial"/>
        <charset val="1"/>
      </rPr>
      <t>2.</t>
    </r>
    <r>
      <rPr>
        <sz val="10"/>
        <rFont val="DejaVu Sans"/>
        <charset val="134"/>
      </rPr>
      <t>訂有前述安寧緩和醫療或病人自主權利法相關處之作業流程規範、步驟，且訂有鼓勵服務對象或家屬針對</t>
    </r>
    <r>
      <rPr>
        <sz val="10"/>
        <rFont val="Arial"/>
        <charset val="1"/>
      </rPr>
      <t>DNR</t>
    </r>
    <r>
      <rPr>
        <sz val="10"/>
        <rFont val="DejaVu Sans"/>
        <charset val="134"/>
      </rPr>
      <t xml:space="preserve">共同討論共識決定的機制
</t>
    </r>
    <r>
      <rPr>
        <sz val="10"/>
        <rFont val="Arial"/>
        <charset val="1"/>
      </rPr>
      <t>3.</t>
    </r>
    <r>
      <rPr>
        <sz val="10"/>
        <rFont val="DejaVu Sans"/>
        <charset val="134"/>
      </rPr>
      <t>訂有已簽訂</t>
    </r>
    <r>
      <rPr>
        <sz val="10"/>
        <rFont val="Arial"/>
        <charset val="1"/>
      </rPr>
      <t>DNR</t>
    </r>
    <r>
      <rPr>
        <sz val="10"/>
        <rFont val="DejaVu Sans"/>
        <charset val="134"/>
      </rPr>
      <t>及未簽訂</t>
    </r>
    <r>
      <rPr>
        <sz val="10"/>
        <rFont val="Arial"/>
        <charset val="1"/>
      </rPr>
      <t>DNR</t>
    </r>
    <r>
      <rPr>
        <sz val="10"/>
        <rFont val="DejaVu Sans"/>
        <charset val="134"/>
      </rPr>
      <t xml:space="preserve">的處理作業流程，並有實際案例
</t>
    </r>
    <r>
      <rPr>
        <sz val="10"/>
        <rFont val="Arial"/>
        <charset val="1"/>
      </rPr>
      <t>4.</t>
    </r>
    <r>
      <rPr>
        <sz val="10"/>
        <rFont val="DejaVu Sans"/>
        <charset val="134"/>
      </rPr>
      <t xml:space="preserve">提供服務對象或家屬臨終照護關懷相關處理流程或手冊
</t>
    </r>
    <r>
      <rPr>
        <sz val="10"/>
        <rFont val="Arial"/>
        <charset val="1"/>
      </rPr>
      <t>5.</t>
    </r>
    <r>
      <rPr>
        <sz val="10"/>
        <rFont val="DejaVu Sans"/>
        <charset val="134"/>
      </rPr>
      <t>協助家屬處理喪葬事宜，並有紀錄</t>
    </r>
  </si>
  <si>
    <r>
      <rPr>
        <sz val="10"/>
        <rFont val="Arial"/>
        <charset val="1"/>
      </rPr>
      <t>DNR</t>
    </r>
    <r>
      <rPr>
        <sz val="10"/>
        <rFont val="DejaVu Sans"/>
        <charset val="134"/>
      </rPr>
      <t>相關資訊文件、作業流程、臨終照護手冊、家屬喪葬協助紀錄</t>
    </r>
  </si>
  <si>
    <t>D9</t>
  </si>
  <si>
    <t>辦理服務滿意度調查情形</t>
  </si>
  <si>
    <r>
      <rPr>
        <sz val="10"/>
        <rFont val="Arial"/>
        <charset val="1"/>
      </rPr>
      <t>1.</t>
    </r>
    <r>
      <rPr>
        <sz val="10"/>
        <rFont val="DejaVu Sans"/>
        <charset val="134"/>
      </rPr>
      <t>每年至少辦理</t>
    </r>
    <r>
      <rPr>
        <sz val="10"/>
        <rFont val="Arial"/>
        <charset val="1"/>
      </rPr>
      <t>1</t>
    </r>
    <r>
      <rPr>
        <sz val="10"/>
        <rFont val="DejaVu Sans"/>
        <charset val="134"/>
      </rPr>
      <t xml:space="preserve">次不具名滿意度調查
</t>
    </r>
    <r>
      <rPr>
        <sz val="10"/>
        <rFont val="Arial"/>
        <charset val="1"/>
      </rPr>
      <t>2.</t>
    </r>
    <r>
      <rPr>
        <sz val="10"/>
        <rFont val="DejaVu Sans"/>
        <charset val="134"/>
      </rPr>
      <t xml:space="preserve">滿意度調查包含服務內容、服務人員態度、設施設備等項目
</t>
    </r>
    <r>
      <rPr>
        <sz val="10"/>
        <rFont val="Arial"/>
        <charset val="1"/>
      </rPr>
      <t>3.</t>
    </r>
    <r>
      <rPr>
        <sz val="10"/>
        <rFont val="DejaVu Sans"/>
        <charset val="134"/>
      </rPr>
      <t xml:space="preserve">有調查分析報告
</t>
    </r>
    <r>
      <rPr>
        <sz val="10"/>
        <rFont val="Arial"/>
        <charset val="1"/>
      </rPr>
      <t>4.</t>
    </r>
    <r>
      <rPr>
        <sz val="10"/>
        <rFont val="DejaVu Sans"/>
        <charset val="134"/>
      </rPr>
      <t>依據調查結果分析及檢討，提出改善之措施</t>
    </r>
  </si>
  <si>
    <t>滿意度調查問卷、分析報告、改善方案及執行紀錄</t>
  </si>
  <si>
    <r>
      <rPr>
        <b/>
        <sz val="14"/>
        <color rgb="FF7030A0"/>
        <rFont val="Arial"/>
        <charset val="1"/>
      </rPr>
      <t>E</t>
    </r>
    <r>
      <rPr>
        <b/>
        <sz val="14"/>
        <color rgb="FF7030A0"/>
        <rFont val="DejaVu Sans"/>
        <charset val="134"/>
      </rPr>
      <t xml:space="preserve">、服務改進創新 </t>
    </r>
    <r>
      <rPr>
        <b/>
        <sz val="14"/>
        <color rgb="FF7030A0"/>
        <rFont val="Arial"/>
        <charset val="1"/>
      </rPr>
      <t>(</t>
    </r>
    <r>
      <rPr>
        <b/>
        <sz val="14"/>
        <color rgb="FF7030A0"/>
        <rFont val="DejaVu Sans"/>
        <charset val="134"/>
      </rPr>
      <t>占評分總分</t>
    </r>
    <r>
      <rPr>
        <b/>
        <sz val="14"/>
        <color rgb="FF7030A0"/>
        <rFont val="Arial"/>
        <charset val="1"/>
      </rPr>
      <t>2%</t>
    </r>
    <r>
      <rPr>
        <b/>
        <sz val="14"/>
        <color rgb="FF7030A0"/>
        <rFont val="DejaVu Sans"/>
        <charset val="134"/>
      </rPr>
      <t>，共</t>
    </r>
    <r>
      <rPr>
        <b/>
        <sz val="14"/>
        <color rgb="FF7030A0"/>
        <rFont val="Arial"/>
        <charset val="1"/>
      </rPr>
      <t>3</t>
    </r>
    <r>
      <rPr>
        <b/>
        <sz val="14"/>
        <color rgb="FF7030A0"/>
        <rFont val="DejaVu Sans"/>
        <charset val="134"/>
      </rPr>
      <t>項指標</t>
    </r>
    <r>
      <rPr>
        <b/>
        <sz val="14"/>
        <color rgb="FF7030A0"/>
        <rFont val="Arial"/>
        <charset val="1"/>
      </rPr>
      <t>)</t>
    </r>
  </si>
  <si>
    <t>E1</t>
  </si>
  <si>
    <t>前次評鑑建議事項改善情形</t>
  </si>
  <si>
    <r>
      <rPr>
        <sz val="10"/>
        <rFont val="Arial"/>
        <charset val="1"/>
      </rPr>
      <t>1.</t>
    </r>
    <r>
      <rPr>
        <sz val="10"/>
        <rFont val="DejaVu Sans"/>
        <charset val="134"/>
      </rPr>
      <t xml:space="preserve">針對前次評鑑之改進事項擬訂具體改善進措施
</t>
    </r>
    <r>
      <rPr>
        <sz val="10"/>
        <rFont val="Arial"/>
        <charset val="1"/>
      </rPr>
      <t>2.</t>
    </r>
    <r>
      <rPr>
        <sz val="10"/>
        <rFont val="DejaVu Sans"/>
        <charset val="134"/>
      </rPr>
      <t>確實執行，並有成效或說明無法達成改善目標之原因</t>
    </r>
  </si>
  <si>
    <t>前次評鑑建議事項清單、改善措施及執行紀錄、成效說明</t>
  </si>
  <si>
    <t>E2</t>
  </si>
  <si>
    <t>創新或配合政策執行</t>
  </si>
  <si>
    <r>
      <rPr>
        <sz val="10"/>
        <rFont val="Arial"/>
        <charset val="1"/>
      </rPr>
      <t>1.</t>
    </r>
    <r>
      <rPr>
        <sz val="10"/>
        <rFont val="DejaVu Sans"/>
        <charset val="134"/>
      </rPr>
      <t>提供具有創新或特色之相關措施</t>
    </r>
    <r>
      <rPr>
        <sz val="10"/>
        <rFont val="Arial"/>
        <charset val="1"/>
      </rPr>
      <t>(</t>
    </r>
    <r>
      <rPr>
        <sz val="10"/>
        <rFont val="DejaVu Sans"/>
        <charset val="134"/>
      </rPr>
      <t>包括服務對象安全、特殊族群創新照護服務模式、配合</t>
    </r>
    <r>
      <rPr>
        <sz val="10"/>
        <rFont val="Arial"/>
        <charset val="1"/>
      </rPr>
      <t>(</t>
    </r>
    <r>
      <rPr>
        <sz val="10"/>
        <rFont val="DejaVu Sans"/>
        <charset val="134"/>
      </rPr>
      <t>參與</t>
    </r>
    <r>
      <rPr>
        <sz val="10"/>
        <rFont val="Arial"/>
        <charset val="1"/>
      </rPr>
      <t>)</t>
    </r>
    <r>
      <rPr>
        <sz val="10"/>
        <rFont val="DejaVu Sans"/>
        <charset val="134"/>
      </rPr>
      <t>政策或試辦等</t>
    </r>
    <r>
      <rPr>
        <sz val="10"/>
        <rFont val="Arial"/>
        <charset val="1"/>
      </rPr>
      <t>)</t>
    </r>
    <r>
      <rPr>
        <sz val="10"/>
        <rFont val="DejaVu Sans"/>
        <charset val="134"/>
      </rPr>
      <t>至少</t>
    </r>
    <r>
      <rPr>
        <sz val="10"/>
        <rFont val="Arial"/>
        <charset val="1"/>
      </rPr>
      <t>1</t>
    </r>
    <r>
      <rPr>
        <sz val="10"/>
        <rFont val="DejaVu Sans"/>
        <charset val="134"/>
      </rPr>
      <t xml:space="preserve">項
</t>
    </r>
    <r>
      <rPr>
        <sz val="10"/>
        <rFont val="Arial"/>
        <charset val="1"/>
      </rPr>
      <t>2.</t>
    </r>
    <r>
      <rPr>
        <sz val="10"/>
        <rFont val="DejaVu Sans"/>
        <charset val="134"/>
      </rPr>
      <t>前述服務具有具體實踐</t>
    </r>
    <r>
      <rPr>
        <sz val="10"/>
        <rFont val="Arial"/>
        <charset val="1"/>
      </rPr>
      <t>(</t>
    </r>
    <r>
      <rPr>
        <sz val="10"/>
        <rFont val="DejaVu Sans"/>
        <charset val="134"/>
      </rPr>
      <t>成效</t>
    </r>
    <r>
      <rPr>
        <sz val="10"/>
        <rFont val="Arial"/>
        <charset val="1"/>
      </rPr>
      <t>)</t>
    </r>
  </si>
  <si>
    <r>
      <rPr>
        <sz val="10"/>
        <rFont val="DejaVu Sans"/>
        <charset val="134"/>
      </rPr>
      <t>創新措施計畫、執行成果報告、主管機關認定文件</t>
    </r>
    <r>
      <rPr>
        <sz val="10"/>
        <rFont val="Arial"/>
        <charset val="1"/>
      </rPr>
      <t>(</t>
    </r>
    <r>
      <rPr>
        <sz val="10"/>
        <rFont val="DejaVu Sans"/>
        <charset val="134"/>
      </rPr>
      <t>如適用</t>
    </r>
    <r>
      <rPr>
        <sz val="10"/>
        <rFont val="Arial"/>
        <charset val="1"/>
      </rPr>
      <t>)</t>
    </r>
  </si>
  <si>
    <t>E3</t>
  </si>
  <si>
    <t>評鑑期間之違規及重大負面事件紀錄</t>
  </si>
  <si>
    <r>
      <rPr>
        <sz val="10"/>
        <rFont val="Arial"/>
        <charset val="1"/>
      </rPr>
      <t>1.</t>
    </r>
    <r>
      <rPr>
        <sz val="10"/>
        <rFont val="DejaVu Sans"/>
        <charset val="134"/>
      </rPr>
      <t>評鑑期間有無違規事項</t>
    </r>
    <r>
      <rPr>
        <sz val="10"/>
        <rFont val="Arial"/>
        <charset val="1"/>
      </rPr>
      <t>(</t>
    </r>
    <r>
      <rPr>
        <sz val="10"/>
        <rFont val="DejaVu Sans"/>
        <charset val="134"/>
      </rPr>
      <t>如未經許可立案範圍收容、對服務對象不當對待等</t>
    </r>
    <r>
      <rPr>
        <sz val="10"/>
        <rFont val="Arial"/>
        <charset val="1"/>
      </rPr>
      <t>)
2.</t>
    </r>
    <r>
      <rPr>
        <sz val="10"/>
        <rFont val="DejaVu Sans"/>
        <charset val="134"/>
      </rPr>
      <t>有無重大負面事件</t>
    </r>
    <r>
      <rPr>
        <sz val="10"/>
        <rFont val="Arial"/>
        <charset val="1"/>
      </rPr>
      <t>(</t>
    </r>
    <r>
      <rPr>
        <sz val="10"/>
        <rFont val="DejaVu Sans"/>
        <charset val="134"/>
      </rPr>
      <t>如機構內性侵害、工作人員對服務對象施暴、公共安全意外等</t>
    </r>
    <r>
      <rPr>
        <sz val="10"/>
        <rFont val="Arial"/>
        <charset val="1"/>
      </rPr>
      <t>)</t>
    </r>
  </si>
  <si>
    <r>
      <rPr>
        <sz val="10"/>
        <rFont val="DejaVu Sans"/>
        <charset val="134"/>
      </rPr>
      <t>無違規事項聲明或說明、事件處理紀錄</t>
    </r>
    <r>
      <rPr>
        <sz val="10"/>
        <rFont val="Arial"/>
        <charset val="1"/>
      </rPr>
      <t>(</t>
    </r>
    <r>
      <rPr>
        <sz val="10"/>
        <rFont val="DejaVu Sans"/>
        <charset val="134"/>
      </rPr>
      <t>如有</t>
    </r>
    <r>
      <rPr>
        <sz val="10"/>
        <rFont val="Arial"/>
        <charset val="1"/>
      </rPr>
      <t>)</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</si>
</sst>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
  </numFmts>
  <fonts count="46">
    <font>
      <sz val="11"/>
      <color theme="1"/>
      <name val="Calibri"/>
      <charset val="1"/>
    </font>
    <font>
      <b/>
      <sz val="14"/>
      <color rgb="FF7030A0"/>
      <name val="Arial"/>
      <charset val="1"/>
    </font>
    <font>
      <b/>
      <sz val="11"/>
      <color rgb="FFFFFFFF"/>
      <name val="DejaVu Sans"/>
      <charset val="134"/>
    </font>
    <font>
      <sz val="10"/>
      <name val="Arial"/>
      <charset val="1"/>
    </font>
    <font>
      <sz val="10"/>
      <name val="DejaVu Sans"/>
      <charset val="134"/>
    </font>
    <font>
      <b/>
      <sz val="14"/>
      <color rgb="FF843C0C"/>
      <name val="Arial"/>
      <charset val="1"/>
    </font>
    <font>
      <b/>
      <sz val="10"/>
      <color rgb="FF9C6500"/>
      <name val="DejaVu Sans"/>
      <charset val="134"/>
    </font>
    <font>
      <b/>
      <sz val="14"/>
      <color rgb="FFBF8F00"/>
      <name val="Arial"/>
      <charset val="1"/>
    </font>
    <font>
      <b/>
      <sz val="10"/>
      <color rgb="FFC00000"/>
      <name val="DejaVu Sans"/>
      <charset val="134"/>
    </font>
    <font>
      <b/>
      <sz val="14"/>
      <color rgb="FF548235"/>
      <name val="Arial"/>
      <charset val="1"/>
    </font>
    <font>
      <b/>
      <sz val="14"/>
      <color rgb="FF2F5496"/>
      <name val="Arial"/>
      <charset val="1"/>
    </font>
    <font>
      <b/>
      <sz val="16"/>
      <color rgb="FF2F5496"/>
      <name val="Arial"/>
      <charset val="1"/>
    </font>
    <font>
      <b/>
      <sz val="14"/>
      <color rgb="FF4472C4"/>
      <name val="DejaVu Sans"/>
      <charset val="134"/>
    </font>
    <font>
      <b/>
      <sz val="10"/>
      <name val="DejaVu Sans"/>
      <charset val="134"/>
    </font>
    <font>
      <b/>
      <sz val="10"/>
      <name val="Arial"/>
      <charset val="1"/>
    </font>
    <font>
      <sz val="10"/>
      <color rgb="FFC00000"/>
      <name val="DejaVu Sans"/>
      <charset val="134"/>
    </font>
    <font>
      <sz val="10"/>
      <color rgb="FF9C6500"/>
      <name val="DejaVu Sans"/>
      <charset val="134"/>
    </font>
    <font>
      <sz val="10"/>
      <name val="Arial"/>
      <charset val="134"/>
    </font>
    <font>
      <u/>
      <sz val="11"/>
      <color rgb="FF0000FF"/>
      <name val="Calibri"/>
      <charset val="0"/>
      <scheme val="minor"/>
    </font>
    <font>
      <u/>
      <sz val="11"/>
      <color rgb="FF800080"/>
      <name val="Calibri"/>
      <charset val="0"/>
      <scheme val="minor"/>
    </font>
    <font>
      <sz val="12"/>
      <color theme="1"/>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4"/>
      <color rgb="FF2F5496"/>
      <name val="DejaVu Sans"/>
      <charset val="134"/>
    </font>
    <font>
      <b/>
      <sz val="11"/>
      <color rgb="FFFFFFFF"/>
      <name val="Arial"/>
      <charset val="1"/>
    </font>
    <font>
      <b/>
      <sz val="14"/>
      <color rgb="FF7030A0"/>
      <name val="DejaVu Sans"/>
      <charset val="134"/>
    </font>
    <font>
      <b/>
      <sz val="14"/>
      <color rgb="FFBF8F00"/>
      <name val="DejaVu Sans"/>
      <charset val="134"/>
    </font>
    <font>
      <b/>
      <sz val="16"/>
      <color rgb="FF2F5496"/>
      <name val="DejaVu Sans"/>
      <charset val="1"/>
    </font>
    <font>
      <b/>
      <sz val="16"/>
      <color rgb="FF2F5496"/>
      <name val="宋体-简"/>
      <charset val="1"/>
    </font>
    <font>
      <b/>
      <sz val="14"/>
      <color rgb="FF843C0C"/>
      <name val="DejaVu Sans"/>
      <charset val="134"/>
    </font>
    <font>
      <b/>
      <sz val="14"/>
      <color rgb="FF548235"/>
      <name val="DejaVu Sans"/>
      <charset val="134"/>
    </font>
  </fonts>
  <fills count="41">
    <fill>
      <patternFill patternType="none"/>
    </fill>
    <fill>
      <patternFill patternType="gray125"/>
    </fill>
    <fill>
      <patternFill patternType="solid">
        <fgColor rgb="FF7030A0"/>
        <bgColor rgb="FF993366"/>
      </patternFill>
    </fill>
    <fill>
      <patternFill patternType="solid">
        <fgColor rgb="FF843C0C"/>
        <bgColor rgb="FF993366"/>
      </patternFill>
    </fill>
    <fill>
      <patternFill patternType="solid">
        <fgColor rgb="FFFFEB9C"/>
        <bgColor rgb="FFFFFFCC"/>
      </patternFill>
    </fill>
    <fill>
      <patternFill patternType="solid">
        <fgColor rgb="FFBF8F00"/>
        <bgColor rgb="FF9C6500"/>
      </patternFill>
    </fill>
    <fill>
      <patternFill patternType="solid">
        <fgColor rgb="FFFFC7CE"/>
        <bgColor rgb="FFFFEB9C"/>
      </patternFill>
    </fill>
    <fill>
      <patternFill patternType="solid">
        <fgColor rgb="FF548235"/>
        <bgColor rgb="FF808080"/>
      </patternFill>
    </fill>
    <fill>
      <patternFill patternType="solid">
        <fgColor rgb="FF2F5496"/>
        <bgColor rgb="FF4472C4"/>
      </patternFill>
    </fill>
    <fill>
      <patternFill patternType="solid">
        <fgColor rgb="FFD6E4F0"/>
        <bgColor rgb="FFCCFFFF"/>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17" fillId="0" borderId="0" applyBorder="0" applyAlignment="0" applyProtection="0"/>
    <xf numFmtId="44" fontId="17" fillId="0" borderId="0" applyBorder="0" applyAlignment="0" applyProtection="0"/>
    <xf numFmtId="9" fontId="17" fillId="0" borderId="0" applyBorder="0" applyAlignment="0" applyProtection="0"/>
    <xf numFmtId="41" fontId="17" fillId="0" borderId="0" applyBorder="0" applyAlignment="0" applyProtection="0"/>
    <xf numFmtId="42" fontId="17" fillId="0" borderId="0" applyBorder="0" applyAlignment="0" applyProtection="0"/>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10" borderId="2" applyNumberFormat="0" applyFont="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3" applyNumberFormat="0" applyFill="0" applyAlignment="0" applyProtection="0">
      <alignment vertical="center"/>
    </xf>
    <xf numFmtId="0" fontId="25" fillId="0" borderId="3" applyNumberFormat="0" applyFill="0" applyAlignment="0" applyProtection="0">
      <alignment vertical="center"/>
    </xf>
    <xf numFmtId="0" fontId="26" fillId="0" borderId="4" applyNumberFormat="0" applyFill="0" applyAlignment="0" applyProtection="0">
      <alignment vertical="center"/>
    </xf>
    <xf numFmtId="0" fontId="26" fillId="0" borderId="0" applyNumberFormat="0" applyFill="0" applyBorder="0" applyAlignment="0" applyProtection="0">
      <alignment vertical="center"/>
    </xf>
    <xf numFmtId="0" fontId="27" fillId="11" borderId="5" applyNumberFormat="0" applyAlignment="0" applyProtection="0">
      <alignment vertical="center"/>
    </xf>
    <xf numFmtId="0" fontId="28" fillId="12" borderId="6" applyNumberFormat="0" applyAlignment="0" applyProtection="0">
      <alignment vertical="center"/>
    </xf>
    <xf numFmtId="0" fontId="29" fillId="12" borderId="5" applyNumberFormat="0" applyAlignment="0" applyProtection="0">
      <alignment vertical="center"/>
    </xf>
    <xf numFmtId="0" fontId="30" fillId="13" borderId="7" applyNumberFormat="0" applyAlignment="0" applyProtection="0">
      <alignment vertical="center"/>
    </xf>
    <xf numFmtId="0" fontId="31" fillId="0" borderId="8" applyNumberFormat="0" applyFill="0" applyAlignment="0" applyProtection="0">
      <alignment vertical="center"/>
    </xf>
    <xf numFmtId="0" fontId="32" fillId="0" borderId="9" applyNumberFormat="0" applyFill="0" applyAlignment="0" applyProtection="0">
      <alignment vertical="center"/>
    </xf>
    <xf numFmtId="0" fontId="33" fillId="14" borderId="0" applyNumberFormat="0" applyBorder="0" applyAlignment="0" applyProtection="0">
      <alignment vertical="center"/>
    </xf>
    <xf numFmtId="0" fontId="34" fillId="15" borderId="0" applyNumberFormat="0" applyBorder="0" applyAlignment="0" applyProtection="0">
      <alignment vertical="center"/>
    </xf>
    <xf numFmtId="0" fontId="35" fillId="16" borderId="0" applyNumberFormat="0" applyBorder="0" applyAlignment="0" applyProtection="0">
      <alignment vertical="center"/>
    </xf>
    <xf numFmtId="0" fontId="36" fillId="17" borderId="0" applyNumberFormat="0" applyBorder="0" applyAlignment="0" applyProtection="0">
      <alignment vertical="center"/>
    </xf>
    <xf numFmtId="0" fontId="37" fillId="18" borderId="0" applyNumberFormat="0" applyBorder="0" applyAlignment="0" applyProtection="0">
      <alignment vertical="center"/>
    </xf>
    <xf numFmtId="0" fontId="37" fillId="19" borderId="0" applyNumberFormat="0" applyBorder="0" applyAlignment="0" applyProtection="0">
      <alignment vertical="center"/>
    </xf>
    <xf numFmtId="0" fontId="36" fillId="20" borderId="0" applyNumberFormat="0" applyBorder="0" applyAlignment="0" applyProtection="0">
      <alignment vertical="center"/>
    </xf>
    <xf numFmtId="0" fontId="36" fillId="21" borderId="0" applyNumberFormat="0" applyBorder="0" applyAlignment="0" applyProtection="0">
      <alignment vertical="center"/>
    </xf>
    <xf numFmtId="0" fontId="37" fillId="22" borderId="0" applyNumberFormat="0" applyBorder="0" applyAlignment="0" applyProtection="0">
      <alignment vertical="center"/>
    </xf>
    <xf numFmtId="0" fontId="37" fillId="23" borderId="0" applyNumberFormat="0" applyBorder="0" applyAlignment="0" applyProtection="0">
      <alignment vertical="center"/>
    </xf>
    <xf numFmtId="0" fontId="36" fillId="24" borderId="0" applyNumberFormat="0" applyBorder="0" applyAlignment="0" applyProtection="0">
      <alignment vertical="center"/>
    </xf>
    <xf numFmtId="0" fontId="36" fillId="25" borderId="0" applyNumberFormat="0" applyBorder="0" applyAlignment="0" applyProtection="0">
      <alignment vertical="center"/>
    </xf>
    <xf numFmtId="0" fontId="37" fillId="26" borderId="0" applyNumberFormat="0" applyBorder="0" applyAlignment="0" applyProtection="0">
      <alignment vertical="center"/>
    </xf>
    <xf numFmtId="0" fontId="37" fillId="27" borderId="0" applyNumberFormat="0" applyBorder="0" applyAlignment="0" applyProtection="0">
      <alignment vertical="center"/>
    </xf>
    <xf numFmtId="0" fontId="36" fillId="28" borderId="0" applyNumberFormat="0" applyBorder="0" applyAlignment="0" applyProtection="0">
      <alignment vertical="center"/>
    </xf>
    <xf numFmtId="0" fontId="36" fillId="29" borderId="0" applyNumberFormat="0" applyBorder="0" applyAlignment="0" applyProtection="0">
      <alignment vertical="center"/>
    </xf>
    <xf numFmtId="0" fontId="37" fillId="30" borderId="0" applyNumberFormat="0" applyBorder="0" applyAlignment="0" applyProtection="0">
      <alignment vertical="center"/>
    </xf>
    <xf numFmtId="0" fontId="37" fillId="31" borderId="0" applyNumberFormat="0" applyBorder="0" applyAlignment="0" applyProtection="0">
      <alignment vertical="center"/>
    </xf>
    <xf numFmtId="0" fontId="36" fillId="32" borderId="0" applyNumberFormat="0" applyBorder="0" applyAlignment="0" applyProtection="0">
      <alignment vertical="center"/>
    </xf>
    <xf numFmtId="0" fontId="36" fillId="33" borderId="0" applyNumberFormat="0" applyBorder="0" applyAlignment="0" applyProtection="0">
      <alignment vertical="center"/>
    </xf>
    <xf numFmtId="0" fontId="37" fillId="34" borderId="0" applyNumberFormat="0" applyBorder="0" applyAlignment="0" applyProtection="0">
      <alignment vertical="center"/>
    </xf>
    <xf numFmtId="0" fontId="37" fillId="35" borderId="0" applyNumberFormat="0" applyBorder="0" applyAlignment="0" applyProtection="0">
      <alignment vertical="center"/>
    </xf>
    <xf numFmtId="0" fontId="36" fillId="36" borderId="0" applyNumberFormat="0" applyBorder="0" applyAlignment="0" applyProtection="0">
      <alignment vertical="center"/>
    </xf>
    <xf numFmtId="0" fontId="36" fillId="37" borderId="0" applyNumberFormat="0" applyBorder="0" applyAlignment="0" applyProtection="0">
      <alignment vertical="center"/>
    </xf>
    <xf numFmtId="0" fontId="37" fillId="38" borderId="0" applyNumberFormat="0" applyBorder="0" applyAlignment="0" applyProtection="0">
      <alignment vertical="center"/>
    </xf>
    <xf numFmtId="0" fontId="37" fillId="39" borderId="0" applyNumberFormat="0" applyBorder="0" applyAlignment="0" applyProtection="0">
      <alignment vertical="center"/>
    </xf>
    <xf numFmtId="0" fontId="36" fillId="40" borderId="0" applyNumberFormat="0" applyBorder="0" applyAlignment="0" applyProtection="0">
      <alignment vertical="center"/>
    </xf>
  </cellStyleXfs>
  <cellXfs count="31">
    <xf numFmtId="0" fontId="0" fillId="0" borderId="0" xfId="0"/>
    <xf numFmtId="0" fontId="1" fillId="0" borderId="0" xfId="0" applyFont="1" applyBorder="1" applyAlignment="1">
      <alignment horizontal="left" vertical="center"/>
    </xf>
    <xf numFmtId="0" fontId="2" fillId="2"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left" vertical="top" wrapText="1"/>
    </xf>
    <xf numFmtId="0" fontId="4" fillId="0" borderId="1" xfId="0" applyFont="1" applyBorder="1" applyAlignment="1">
      <alignment horizontal="center" vertical="center" wrapText="1"/>
    </xf>
    <xf numFmtId="0" fontId="3" fillId="0" borderId="1" xfId="0" applyFont="1" applyBorder="1" applyAlignment="1">
      <alignment horizontal="left" vertical="top" wrapText="1"/>
    </xf>
    <xf numFmtId="0" fontId="5" fillId="0" borderId="0" xfId="0" applyFont="1" applyBorder="1" applyAlignment="1">
      <alignment horizontal="left" vertical="center"/>
    </xf>
    <xf numFmtId="0" fontId="2" fillId="3" borderId="1" xfId="0" applyFont="1" applyFill="1" applyBorder="1" applyAlignment="1">
      <alignment horizontal="center" vertical="center" wrapText="1"/>
    </xf>
    <xf numFmtId="0" fontId="6" fillId="4" borderId="1" xfId="0" applyFont="1" applyFill="1" applyBorder="1" applyAlignment="1">
      <alignment horizontal="center" vertical="center" wrapText="1"/>
    </xf>
    <xf numFmtId="0" fontId="7" fillId="0" borderId="0" xfId="0" applyFont="1" applyBorder="1" applyAlignment="1">
      <alignment horizontal="left" vertical="center"/>
    </xf>
    <xf numFmtId="0" fontId="2" fillId="5" borderId="1" xfId="0" applyFont="1" applyFill="1" applyBorder="1" applyAlignment="1">
      <alignment horizontal="center" vertical="center" wrapText="1"/>
    </xf>
    <xf numFmtId="0" fontId="8" fillId="6" borderId="1" xfId="0" applyFont="1" applyFill="1" applyBorder="1" applyAlignment="1">
      <alignment horizontal="center" vertical="center" wrapText="1"/>
    </xf>
    <xf numFmtId="0" fontId="9" fillId="0" borderId="0" xfId="0" applyFont="1" applyBorder="1" applyAlignment="1">
      <alignment horizontal="left" vertical="center"/>
    </xf>
    <xf numFmtId="0" fontId="2" fillId="7" borderId="1" xfId="0" applyFont="1" applyFill="1" applyBorder="1" applyAlignment="1">
      <alignment horizontal="center" vertical="center" wrapText="1"/>
    </xf>
    <xf numFmtId="0" fontId="10" fillId="0" borderId="0" xfId="0" applyFont="1" applyBorder="1" applyAlignment="1">
      <alignment horizontal="left" vertical="center"/>
    </xf>
    <xf numFmtId="0" fontId="2" fillId="8" borderId="1" xfId="0" applyFont="1" applyFill="1" applyBorder="1" applyAlignment="1">
      <alignment horizontal="center" vertical="center" wrapText="1"/>
    </xf>
    <xf numFmtId="0" fontId="11" fillId="0" borderId="0" xfId="0" applyFont="1" applyBorder="1"/>
    <xf numFmtId="0" fontId="12" fillId="0" borderId="0" xfId="0" applyFont="1" applyBorder="1"/>
    <xf numFmtId="0" fontId="13" fillId="0" borderId="0" xfId="0" applyFont="1"/>
    <xf numFmtId="0" fontId="14" fillId="0" borderId="1" xfId="0" applyFont="1" applyBorder="1" applyAlignment="1">
      <alignment horizontal="center" vertical="center" wrapText="1"/>
    </xf>
    <xf numFmtId="0" fontId="3" fillId="0" borderId="1" xfId="0" applyFont="1" applyBorder="1"/>
    <xf numFmtId="0" fontId="0" fillId="0" borderId="1" xfId="0" applyBorder="1" applyAlignment="1">
      <alignment horizontal="center" vertical="center" wrapText="1"/>
    </xf>
    <xf numFmtId="0" fontId="0" fillId="0" borderId="1" xfId="0" applyBorder="1"/>
    <xf numFmtId="176" fontId="0" fillId="0" borderId="1" xfId="0" applyNumberFormat="1" applyBorder="1"/>
    <xf numFmtId="0" fontId="13" fillId="9" borderId="1" xfId="0" applyFont="1" applyFill="1" applyBorder="1" applyAlignment="1">
      <alignment horizontal="center" vertical="center" wrapText="1"/>
    </xf>
    <xf numFmtId="0" fontId="14" fillId="9" borderId="1" xfId="0" applyFont="1" applyFill="1" applyBorder="1" applyAlignment="1">
      <alignment horizontal="center" vertical="center" wrapText="1"/>
    </xf>
    <xf numFmtId="176" fontId="14" fillId="9" borderId="1" xfId="0" applyNumberFormat="1" applyFont="1" applyFill="1" applyBorder="1"/>
    <xf numFmtId="0" fontId="15" fillId="6" borderId="0" xfId="0" applyFont="1" applyFill="1"/>
    <xf numFmtId="0" fontId="4" fillId="0" borderId="0" xfId="0" applyFont="1"/>
    <xf numFmtId="0" fontId="16" fillId="4" borderId="0" xfId="0" applyFont="1" applyFill="1"/>
  </cellXfs>
  <cellStyles count="49">
    <cellStyle name="常規" xfId="0" builtinId="0"/>
    <cellStyle name="千位分隔" xfId="1" builtinId="3"/>
    <cellStyle name="貨幣" xfId="2" builtinId="4"/>
    <cellStyle name="百分比" xfId="3" builtinId="5"/>
    <cellStyle name="千位分隔[0]" xfId="4" builtinId="6"/>
    <cellStyle name="貨幣[0]" xfId="5" builtinId="7"/>
    <cellStyle name="超鏈接" xfId="6" builtinId="8"/>
    <cellStyle name="已訪問的超鏈接" xfId="7" builtinId="9"/>
    <cellStyle name="註釋" xfId="8" builtinId="10"/>
    <cellStyle name="警告文字" xfId="9" builtinId="11"/>
    <cellStyle name="標題" xfId="10" builtinId="15"/>
    <cellStyle name="解釋性文本" xfId="11" builtinId="53"/>
    <cellStyle name="標題 1" xfId="12" builtinId="16"/>
    <cellStyle name="標題 2" xfId="13" builtinId="17"/>
    <cellStyle name="標題 3" xfId="14" builtinId="18"/>
    <cellStyle name="標題 4" xfId="15" builtinId="19"/>
    <cellStyle name="輸入" xfId="16" builtinId="20"/>
    <cellStyle name="輸出" xfId="17" builtinId="21"/>
    <cellStyle name="計算" xfId="18" builtinId="22"/>
    <cellStyle name="檢查儲存格" xfId="19" builtinId="23"/>
    <cellStyle name="鏈接儲存格" xfId="20" builtinId="24"/>
    <cellStyle name="匯總" xfId="21" builtinId="25"/>
    <cellStyle name="好" xfId="22" builtinId="26"/>
    <cellStyle name="差" xfId="23" builtinId="27"/>
    <cellStyle name="適中" xfId="24" builtinId="28"/>
    <cellStyle name="強調文字顏色 1" xfId="25" builtinId="29"/>
    <cellStyle name="20% - 強調文字顏色 1" xfId="26" builtinId="30"/>
    <cellStyle name="40% - 強調文字顏色 1" xfId="27" builtinId="31"/>
    <cellStyle name="60% - 強調文字顏色 1" xfId="28" builtinId="32"/>
    <cellStyle name="強調文字顏色 2" xfId="29" builtinId="33"/>
    <cellStyle name="20% - 強調文字顏色 2" xfId="30" builtinId="34"/>
    <cellStyle name="40% - 強調文字顏色 2" xfId="31" builtinId="35"/>
    <cellStyle name="60% - 強調文字顏色 2" xfId="32" builtinId="36"/>
    <cellStyle name="強調文字顏色 3" xfId="33" builtinId="37"/>
    <cellStyle name="20% - 強調文字顏色 3" xfId="34" builtinId="38"/>
    <cellStyle name="40% - 強調文字顏色 3" xfId="35" builtinId="39"/>
    <cellStyle name="60% - 強調文字顏色 3" xfId="36" builtinId="40"/>
    <cellStyle name="強調文字顏色 4" xfId="37" builtinId="41"/>
    <cellStyle name="20% - 強調文字顏色 4" xfId="38" builtinId="42"/>
    <cellStyle name="40% - 強調文字顏色 4" xfId="39" builtinId="43"/>
    <cellStyle name="60% - 強調文字顏色 4" xfId="40" builtinId="44"/>
    <cellStyle name="強調文字顏色 5" xfId="41" builtinId="45"/>
    <cellStyle name="20% - 強調文字顏色 5" xfId="42" builtinId="46"/>
    <cellStyle name="40% - 強調文字顏色 5" xfId="43" builtinId="47"/>
    <cellStyle name="60% - 強調文字顏色 5" xfId="44" builtinId="48"/>
    <cellStyle name="強調文字顏色 6" xfId="45" builtinId="49"/>
    <cellStyle name="20% - 強調文字顏色 6" xfId="46" builtinId="50"/>
    <cellStyle name="40% - 強調文字顏色 6" xfId="47" builtinId="51"/>
    <cellStyle name="60% - 強調文字顏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9C6500"/>
      <rgbColor rgb="00800080"/>
      <rgbColor rgb="00008080"/>
      <rgbColor rgb="00C0C0C0"/>
      <rgbColor rgb="00808080"/>
      <rgbColor rgb="009999FF"/>
      <rgbColor rgb="007030A0"/>
      <rgbColor rgb="00FFFFCC"/>
      <rgbColor rgb="00CCFFFF"/>
      <rgbColor rgb="00660066"/>
      <rgbColor rgb="00FF8080"/>
      <rgbColor rgb="000066CC"/>
      <rgbColor rgb="00D6E4F0"/>
      <rgbColor rgb="00000080"/>
      <rgbColor rgb="00FF00FF"/>
      <rgbColor rgb="00FFFF00"/>
      <rgbColor rgb="0000FFFF"/>
      <rgbColor rgb="00800080"/>
      <rgbColor rgb="00800000"/>
      <rgbColor rgb="00008080"/>
      <rgbColor rgb="000000FF"/>
      <rgbColor rgb="0000CCFF"/>
      <rgbColor rgb="00CCFFFF"/>
      <rgbColor rgb="00CCFFCC"/>
      <rgbColor rgb="00FFEB9C"/>
      <rgbColor rgb="0099CCFF"/>
      <rgbColor rgb="00FF99CC"/>
      <rgbColor rgb="00CC99FF"/>
      <rgbColor rgb="00FFC7CE"/>
      <rgbColor rgb="004472C4"/>
      <rgbColor rgb="0033CCCC"/>
      <rgbColor rgb="0099CC00"/>
      <rgbColor rgb="00FFCC00"/>
      <rgbColor rgb="00BF8F00"/>
      <rgbColor rgb="00FF6600"/>
      <rgbColor rgb="00666699"/>
      <rgbColor rgb="00969696"/>
      <rgbColor rgb="00003366"/>
      <rgbColor rgb="00548235"/>
      <rgbColor rgb="00003300"/>
      <rgbColor rgb="00333300"/>
      <rgbColor rgb="00843C0C"/>
      <rgbColor rgb="00993366"/>
      <rgbColor rgb="002F5496"/>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2F5496"/>
  </sheetPr>
  <dimension ref="A1:I16"/>
  <sheetViews>
    <sheetView tabSelected="1" workbookViewId="0">
      <pane ySplit="6" topLeftCell="A7" activePane="bottomLeft" state="frozen"/>
      <selection/>
      <selection pane="bottomLeft" activeCell="A2" sqref="A2:H2"/>
    </sheetView>
  </sheetViews>
  <sheetFormatPr defaultColWidth="8.6796875" defaultRowHeight="15" customHeight="1"/>
  <cols>
    <col min="1" max="1" width="8" customWidth="1"/>
    <col min="2" max="2" width="25" customWidth="1"/>
    <col min="3" max="3" width="10" customWidth="1"/>
    <col min="4" max="4" width="8" customWidth="1"/>
    <col min="5" max="9" width="10" customWidth="1"/>
  </cols>
  <sheetData>
    <row r="1" ht="24" spans="1:9">
      <c r="A1" s="17" t="s">
        <v>0</v>
      </c>
      <c r="B1" s="17"/>
      <c r="C1" s="17"/>
      <c r="D1" s="17"/>
      <c r="E1" s="17"/>
      <c r="F1" s="17"/>
      <c r="G1" s="17"/>
      <c r="H1" s="17"/>
    </row>
    <row r="2" ht="20.4" spans="1:9">
      <c r="A2" s="18" t="s">
        <v>1</v>
      </c>
      <c r="B2" s="18"/>
      <c r="C2" s="18"/>
      <c r="D2" s="18"/>
      <c r="E2" s="18"/>
      <c r="F2" s="18"/>
      <c r="G2" s="18"/>
      <c r="H2" s="18"/>
    </row>
    <row r="3" ht="15.2" spans="1:9">
      <c r="A3" s="19" t="s">
        <v>2</v>
      </c>
      <c r="E3" s="19" t="s">
        <v>3</v>
      </c>
    </row>
    <row r="4" ht="15.2" spans="1:9">
      <c r="A4" s="19" t="s">
        <v>4</v>
      </c>
    </row>
    <row r="6" ht="17" spans="1:9">
      <c r="A6" s="16" t="s">
        <v>5</v>
      </c>
      <c r="B6" s="16" t="s">
        <v>6</v>
      </c>
      <c r="C6" s="16" t="s">
        <v>7</v>
      </c>
      <c r="D6" s="16" t="s">
        <v>8</v>
      </c>
      <c r="E6" s="16" t="s">
        <v>9</v>
      </c>
      <c r="F6" s="16" t="s">
        <v>10</v>
      </c>
      <c r="G6" s="16" t="s">
        <v>11</v>
      </c>
      <c r="H6" s="16" t="s">
        <v>12</v>
      </c>
      <c r="I6" s="16" t="s">
        <v>13</v>
      </c>
    </row>
    <row r="7" ht="17" spans="1:9">
      <c r="A7" s="20" t="s">
        <v>14</v>
      </c>
      <c r="B7" s="21" t="s">
        <v>15</v>
      </c>
      <c r="C7" s="22">
        <v>15</v>
      </c>
      <c r="D7" s="22" t="s">
        <v>16</v>
      </c>
      <c r="E7" s="23">
        <f>COUNTIF(A類!G:G,"符合")</f>
        <v>0</v>
      </c>
      <c r="F7" s="23">
        <f>COUNTIF(A類!G:G,"部分符合")</f>
        <v>0</v>
      </c>
      <c r="G7" s="23">
        <f>COUNTIF(A類!G:G,"不符合")</f>
        <v>0</v>
      </c>
      <c r="H7" s="23">
        <f>COUNTIF(A類!G:G,"待確認")</f>
        <v>0</v>
      </c>
      <c r="I7" s="24">
        <f>IF(15=0,0,(E7+F7)/15)</f>
        <v>0</v>
      </c>
    </row>
    <row r="8" ht="17" spans="1:9">
      <c r="A8" s="20" t="s">
        <v>17</v>
      </c>
      <c r="B8" s="21" t="s">
        <v>18</v>
      </c>
      <c r="C8" s="22">
        <v>32</v>
      </c>
      <c r="D8" s="22" t="s">
        <v>19</v>
      </c>
      <c r="E8" s="23">
        <f>COUNTIF(B類!G:G,"符合")</f>
        <v>0</v>
      </c>
      <c r="F8" s="23">
        <f>COUNTIF(B類!G:G,"部分符合")</f>
        <v>0</v>
      </c>
      <c r="G8" s="23">
        <f>COUNTIF(B類!G:G,"不符合")</f>
        <v>0</v>
      </c>
      <c r="H8" s="23">
        <f>COUNTIF(B類!G:G,"待確認")</f>
        <v>0</v>
      </c>
      <c r="I8" s="24">
        <f>IF(32=0,0,(E8+F8)/32)</f>
        <v>0</v>
      </c>
    </row>
    <row r="9" ht="17" spans="1:9">
      <c r="A9" s="20" t="s">
        <v>20</v>
      </c>
      <c r="B9" s="21" t="s">
        <v>21</v>
      </c>
      <c r="C9" s="22">
        <v>16</v>
      </c>
      <c r="D9" s="22" t="s">
        <v>22</v>
      </c>
      <c r="E9" s="23">
        <f>COUNTIF(C類!G:G,"符合")</f>
        <v>0</v>
      </c>
      <c r="F9" s="23">
        <f>COUNTIF(C類!G:G,"部分符合")</f>
        <v>0</v>
      </c>
      <c r="G9" s="23">
        <f>COUNTIF(C類!G:G,"不符合")</f>
        <v>0</v>
      </c>
      <c r="H9" s="23">
        <f>COUNTIF(C類!G:G,"待確認")</f>
        <v>0</v>
      </c>
      <c r="I9" s="24">
        <f>IF(16=0,0,(E9+F9)/16)</f>
        <v>0</v>
      </c>
    </row>
    <row r="10" ht="17" spans="1:9">
      <c r="A10" s="20" t="s">
        <v>23</v>
      </c>
      <c r="B10" s="21" t="s">
        <v>24</v>
      </c>
      <c r="C10" s="22">
        <v>9</v>
      </c>
      <c r="D10" s="22" t="s">
        <v>25</v>
      </c>
      <c r="E10" s="23">
        <f>COUNTIF(D類!G:G,"符合")</f>
        <v>0</v>
      </c>
      <c r="F10" s="23">
        <f>COUNTIF(D類!G:G,"部分符合")</f>
        <v>0</v>
      </c>
      <c r="G10" s="23">
        <f>COUNTIF(D類!G:G,"不符合")</f>
        <v>0</v>
      </c>
      <c r="H10" s="23">
        <f>COUNTIF(D類!G:G,"待確認")</f>
        <v>0</v>
      </c>
      <c r="I10" s="24">
        <f>IF(9=0,0,(E10+F10)/9)</f>
        <v>0</v>
      </c>
    </row>
    <row r="11" ht="17" spans="1:9">
      <c r="A11" s="20" t="s">
        <v>26</v>
      </c>
      <c r="B11" s="21" t="s">
        <v>27</v>
      </c>
      <c r="C11" s="22">
        <v>3</v>
      </c>
      <c r="D11" s="22" t="s">
        <v>28</v>
      </c>
      <c r="E11" s="23">
        <f>COUNTIF(E類!G:G,"符合")</f>
        <v>0</v>
      </c>
      <c r="F11" s="23">
        <f>COUNTIF(E類!G:G,"部分符合")</f>
        <v>0</v>
      </c>
      <c r="G11" s="23">
        <f>COUNTIF(E類!G:G,"不符合")</f>
        <v>0</v>
      </c>
      <c r="H11" s="23">
        <f>COUNTIF(E類!G:G,"待確認")</f>
        <v>0</v>
      </c>
      <c r="I11" s="24">
        <f>IF(3=0,0,(E11+F11)/3)</f>
        <v>0</v>
      </c>
    </row>
    <row r="12" customHeight="1" spans="1:9">
      <c r="A12" s="25" t="s">
        <v>29</v>
      </c>
      <c r="B12" s="25"/>
      <c r="C12" s="26">
        <f>SUM(C7:C11)</f>
        <v>75</v>
      </c>
      <c r="D12" s="26" t="s">
        <v>30</v>
      </c>
      <c r="E12" s="26">
        <f>SUM(E7:E11)</f>
        <v>0</v>
      </c>
      <c r="F12" s="26">
        <f>SUM(F7:F11)</f>
        <v>0</v>
      </c>
      <c r="G12" s="26">
        <f>SUM(G7:G11)</f>
        <v>0</v>
      </c>
      <c r="H12" s="26">
        <f>SUM(H7:H11)</f>
        <v>0</v>
      </c>
      <c r="I12" s="27">
        <f>IF(C12=0,0,(E12+F12)/C12)</f>
        <v>0</v>
      </c>
    </row>
    <row r="14" ht="15.2" spans="1:9">
      <c r="A14" s="19" t="s">
        <v>31</v>
      </c>
    </row>
    <row r="15" ht="15.2" spans="1:9">
      <c r="A15" s="28" t="s">
        <v>32</v>
      </c>
      <c r="C15" s="29" t="s">
        <v>33</v>
      </c>
    </row>
    <row r="16" ht="15.2" spans="1:9">
      <c r="A16" s="30" t="s">
        <v>34</v>
      </c>
      <c r="C16" s="29" t="s">
        <v>35</v>
      </c>
    </row>
  </sheetData>
  <mergeCells count="3">
    <mergeCell ref="A1:H1"/>
    <mergeCell ref="A2:H2"/>
    <mergeCell ref="A12:B12"/>
  </mergeCells>
  <pageMargins left="0.75" right="0.75" top="1" bottom="1" header="0.511811023622047" footer="0.511811023622047"/>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2F5496"/>
  </sheetPr>
  <dimension ref="A1:K17"/>
  <sheetViews>
    <sheetView workbookViewId="0">
      <pane ySplit="2" topLeftCell="A3" activePane="bottomLeft" state="frozen"/>
      <selection/>
      <selection pane="bottomLeft" activeCell="A1" sqref="A1:K1"/>
    </sheetView>
  </sheetViews>
  <sheetFormatPr defaultColWidth="8.6796875" defaultRowHeight="15" customHeight="1"/>
  <cols>
    <col min="1" max="1" width="10" customWidth="1"/>
    <col min="2" max="2" width="22" customWidth="1"/>
    <col min="3" max="4" width="10" customWidth="1"/>
    <col min="5" max="5" width="55" customWidth="1"/>
    <col min="6" max="6" width="35" customWidth="1"/>
    <col min="7" max="7" width="12" customWidth="1"/>
    <col min="8" max="8" width="10" customWidth="1"/>
    <col min="9" max="9" width="12" customWidth="1"/>
    <col min="10" max="10" width="14" customWidth="1"/>
    <col min="11" max="11" width="25" customWidth="1"/>
  </cols>
  <sheetData>
    <row r="1" ht="21" spans="1:11">
      <c r="A1" s="15" t="s">
        <v>36</v>
      </c>
      <c r="B1" s="15"/>
      <c r="C1" s="15"/>
      <c r="D1" s="15"/>
      <c r="E1" s="15"/>
      <c r="F1" s="15"/>
      <c r="G1" s="15"/>
      <c r="H1" s="15"/>
      <c r="I1" s="15"/>
      <c r="J1" s="15"/>
      <c r="K1" s="15"/>
    </row>
    <row r="2" ht="17" spans="1:11">
      <c r="A2" s="16" t="s">
        <v>37</v>
      </c>
      <c r="B2" s="16" t="s">
        <v>6</v>
      </c>
      <c r="C2" s="16" t="s">
        <v>38</v>
      </c>
      <c r="D2" s="16" t="s">
        <v>39</v>
      </c>
      <c r="E2" s="16" t="s">
        <v>40</v>
      </c>
      <c r="F2" s="16" t="s">
        <v>41</v>
      </c>
      <c r="G2" s="16" t="s">
        <v>42</v>
      </c>
      <c r="H2" s="16" t="s">
        <v>43</v>
      </c>
      <c r="I2" s="16" t="s">
        <v>44</v>
      </c>
      <c r="J2" s="16" t="s">
        <v>45</v>
      </c>
      <c r="K2" s="16" t="s">
        <v>46</v>
      </c>
    </row>
    <row r="3" ht="72" customHeight="1" spans="1:11">
      <c r="A3" s="3" t="s">
        <v>47</v>
      </c>
      <c r="B3" s="4" t="s">
        <v>48</v>
      </c>
      <c r="C3" s="5" t="s">
        <v>49</v>
      </c>
      <c r="D3" s="5" t="s">
        <v>50</v>
      </c>
      <c r="E3" s="6" t="s">
        <v>51</v>
      </c>
      <c r="F3" s="4" t="s">
        <v>52</v>
      </c>
      <c r="G3" s="3"/>
      <c r="H3" s="3"/>
      <c r="I3" s="6"/>
      <c r="J3" s="6"/>
      <c r="K3" s="6"/>
    </row>
    <row r="4" ht="90" customHeight="1" spans="1:11">
      <c r="A4" s="3" t="s">
        <v>53</v>
      </c>
      <c r="B4" s="4" t="s">
        <v>54</v>
      </c>
      <c r="C4" s="5" t="s">
        <v>49</v>
      </c>
      <c r="D4" s="9" t="s">
        <v>55</v>
      </c>
      <c r="E4" s="6" t="s">
        <v>56</v>
      </c>
      <c r="F4" s="4" t="s">
        <v>57</v>
      </c>
      <c r="G4" s="3"/>
      <c r="H4" s="3"/>
      <c r="I4" s="6"/>
      <c r="J4" s="6"/>
      <c r="K4" s="6"/>
    </row>
    <row r="5" ht="54" customHeight="1" spans="1:11">
      <c r="A5" s="3" t="s">
        <v>58</v>
      </c>
      <c r="B5" s="4" t="s">
        <v>59</v>
      </c>
      <c r="C5" s="5" t="s">
        <v>49</v>
      </c>
      <c r="D5" s="5" t="s">
        <v>50</v>
      </c>
      <c r="E5" s="6" t="s">
        <v>60</v>
      </c>
      <c r="F5" s="4" t="s">
        <v>61</v>
      </c>
      <c r="G5" s="3"/>
      <c r="H5" s="3"/>
      <c r="I5" s="6"/>
      <c r="J5" s="6"/>
      <c r="K5" s="6"/>
    </row>
    <row r="6" ht="36" customHeight="1" spans="1:11">
      <c r="A6" s="3" t="s">
        <v>62</v>
      </c>
      <c r="B6" s="4" t="s">
        <v>63</v>
      </c>
      <c r="C6" s="5" t="s">
        <v>49</v>
      </c>
      <c r="D6" s="5" t="s">
        <v>50</v>
      </c>
      <c r="E6" s="6" t="s">
        <v>64</v>
      </c>
      <c r="F6" s="4" t="s">
        <v>65</v>
      </c>
      <c r="G6" s="3"/>
      <c r="H6" s="3"/>
      <c r="I6" s="6"/>
      <c r="J6" s="6"/>
      <c r="K6" s="6"/>
    </row>
    <row r="7" ht="90" customHeight="1" spans="1:11">
      <c r="A7" s="3" t="s">
        <v>66</v>
      </c>
      <c r="B7" s="4" t="s">
        <v>67</v>
      </c>
      <c r="C7" s="5" t="s">
        <v>49</v>
      </c>
      <c r="D7" s="5" t="s">
        <v>50</v>
      </c>
      <c r="E7" s="6" t="s">
        <v>68</v>
      </c>
      <c r="F7" s="4" t="s">
        <v>69</v>
      </c>
      <c r="G7" s="3"/>
      <c r="H7" s="3"/>
      <c r="I7" s="6"/>
      <c r="J7" s="6"/>
      <c r="K7" s="6"/>
    </row>
    <row r="8" ht="72" customHeight="1" spans="1:11">
      <c r="A8" s="3" t="s">
        <v>70</v>
      </c>
      <c r="B8" s="4" t="s">
        <v>71</v>
      </c>
      <c r="C8" s="5" t="s">
        <v>49</v>
      </c>
      <c r="D8" s="5" t="s">
        <v>50</v>
      </c>
      <c r="E8" s="6" t="s">
        <v>72</v>
      </c>
      <c r="F8" s="4" t="s">
        <v>73</v>
      </c>
      <c r="G8" s="3"/>
      <c r="H8" s="3"/>
      <c r="I8" s="6"/>
      <c r="J8" s="6"/>
      <c r="K8" s="6"/>
    </row>
    <row r="9" ht="54" customHeight="1" spans="1:11">
      <c r="A9" s="3" t="s">
        <v>74</v>
      </c>
      <c r="B9" s="4" t="s">
        <v>75</v>
      </c>
      <c r="C9" s="5" t="s">
        <v>49</v>
      </c>
      <c r="D9" s="12" t="s">
        <v>76</v>
      </c>
      <c r="E9" s="6" t="s">
        <v>77</v>
      </c>
      <c r="F9" s="4" t="s">
        <v>78</v>
      </c>
      <c r="G9" s="3"/>
      <c r="H9" s="3"/>
      <c r="I9" s="6"/>
      <c r="J9" s="6"/>
      <c r="K9" s="6"/>
    </row>
    <row r="10" ht="36" customHeight="1" spans="1:11">
      <c r="A10" s="3" t="s">
        <v>79</v>
      </c>
      <c r="B10" s="4" t="s">
        <v>80</v>
      </c>
      <c r="C10" s="5" t="s">
        <v>49</v>
      </c>
      <c r="D10" s="5" t="s">
        <v>50</v>
      </c>
      <c r="E10" s="6" t="s">
        <v>81</v>
      </c>
      <c r="F10" s="4" t="s">
        <v>82</v>
      </c>
      <c r="G10" s="3"/>
      <c r="H10" s="3"/>
      <c r="I10" s="6"/>
      <c r="J10" s="6"/>
      <c r="K10" s="6"/>
    </row>
    <row r="11" ht="72" customHeight="1" spans="1:11">
      <c r="A11" s="3" t="s">
        <v>83</v>
      </c>
      <c r="B11" s="4" t="s">
        <v>84</v>
      </c>
      <c r="C11" s="5" t="s">
        <v>49</v>
      </c>
      <c r="D11" s="12" t="s">
        <v>76</v>
      </c>
      <c r="E11" s="6" t="s">
        <v>85</v>
      </c>
      <c r="F11" s="4" t="s">
        <v>86</v>
      </c>
      <c r="G11" s="3"/>
      <c r="H11" s="3"/>
      <c r="I11" s="6"/>
      <c r="J11" s="6"/>
      <c r="K11" s="6"/>
    </row>
    <row r="12" ht="36" customHeight="1" spans="1:11">
      <c r="A12" s="3" t="s">
        <v>87</v>
      </c>
      <c r="B12" s="4" t="s">
        <v>88</v>
      </c>
      <c r="C12" s="5" t="s">
        <v>49</v>
      </c>
      <c r="D12" s="5" t="s">
        <v>50</v>
      </c>
      <c r="E12" s="6" t="s">
        <v>89</v>
      </c>
      <c r="F12" s="4" t="s">
        <v>90</v>
      </c>
      <c r="G12" s="3"/>
      <c r="H12" s="3"/>
      <c r="I12" s="6"/>
      <c r="J12" s="6"/>
      <c r="K12" s="6"/>
    </row>
    <row r="13" ht="54" customHeight="1" spans="1:11">
      <c r="A13" s="3" t="s">
        <v>91</v>
      </c>
      <c r="B13" s="4" t="s">
        <v>92</v>
      </c>
      <c r="C13" s="5" t="s">
        <v>93</v>
      </c>
      <c r="D13" s="12" t="s">
        <v>76</v>
      </c>
      <c r="E13" s="6" t="s">
        <v>94</v>
      </c>
      <c r="F13" s="4" t="s">
        <v>95</v>
      </c>
      <c r="G13" s="3"/>
      <c r="H13" s="3"/>
      <c r="I13" s="6"/>
      <c r="J13" s="6"/>
      <c r="K13" s="6"/>
    </row>
    <row r="14" ht="54" customHeight="1" spans="1:11">
      <c r="A14" s="3" t="s">
        <v>96</v>
      </c>
      <c r="B14" s="4" t="s">
        <v>97</v>
      </c>
      <c r="C14" s="5" t="s">
        <v>49</v>
      </c>
      <c r="D14" s="5" t="s">
        <v>50</v>
      </c>
      <c r="E14" s="6" t="s">
        <v>98</v>
      </c>
      <c r="F14" s="4" t="s">
        <v>99</v>
      </c>
      <c r="G14" s="3"/>
      <c r="H14" s="3"/>
      <c r="I14" s="6"/>
      <c r="J14" s="6"/>
      <c r="K14" s="6"/>
    </row>
    <row r="15" ht="54" customHeight="1" spans="1:11">
      <c r="A15" s="3" t="s">
        <v>100</v>
      </c>
      <c r="B15" s="4" t="s">
        <v>101</v>
      </c>
      <c r="C15" s="5" t="s">
        <v>49</v>
      </c>
      <c r="D15" s="5" t="s">
        <v>50</v>
      </c>
      <c r="E15" s="6" t="s">
        <v>102</v>
      </c>
      <c r="F15" s="4" t="s">
        <v>103</v>
      </c>
      <c r="G15" s="3"/>
      <c r="H15" s="3"/>
      <c r="I15" s="6"/>
      <c r="J15" s="6"/>
      <c r="K15" s="6"/>
    </row>
    <row r="16" ht="126" customHeight="1" spans="1:11">
      <c r="A16" s="3" t="s">
        <v>104</v>
      </c>
      <c r="B16" s="4" t="s">
        <v>105</v>
      </c>
      <c r="C16" s="5" t="s">
        <v>49</v>
      </c>
      <c r="D16" s="5" t="s">
        <v>50</v>
      </c>
      <c r="E16" s="6" t="s">
        <v>106</v>
      </c>
      <c r="F16" s="4" t="s">
        <v>107</v>
      </c>
      <c r="G16" s="3"/>
      <c r="H16" s="3"/>
      <c r="I16" s="6"/>
      <c r="J16" s="6"/>
      <c r="K16" s="6"/>
    </row>
    <row r="17" ht="36" customHeight="1" spans="1:11">
      <c r="A17" s="3" t="s">
        <v>108</v>
      </c>
      <c r="B17" s="4" t="s">
        <v>109</v>
      </c>
      <c r="C17" s="5" t="s">
        <v>49</v>
      </c>
      <c r="D17" s="5" t="s">
        <v>50</v>
      </c>
      <c r="E17" s="6" t="s">
        <v>110</v>
      </c>
      <c r="F17" s="4" t="s">
        <v>111</v>
      </c>
      <c r="G17" s="3"/>
      <c r="H17" s="3"/>
      <c r="I17" s="6"/>
      <c r="J17" s="6"/>
      <c r="K17" s="6"/>
    </row>
  </sheetData>
  <autoFilter xmlns:etc="http://www.wps.cn/officeDocument/2017/etCustomData" ref="A2:K17" etc:filterBottomFollowUsedRange="0">
    <extLst/>
  </autoFilter>
  <mergeCells count="1">
    <mergeCell ref="A1:K1"/>
  </mergeCells>
  <dataValidations count="2">
    <dataValidation type="list" allowBlank="1" errorTitle="輸入錯誤" error="請選擇：符合/部分符合/不符合/待確認" promptTitle="符合狀況" prompt="請選擇符合狀況" sqref="G3:G34">
      <formula1>"符合,部分符合,不符合,待確認"</formula1>
    </dataValidation>
    <dataValidation type="list" allowBlank="1" sqref="H3:H34">
      <formula1>"A,B,C,D,E"</formula1>
    </dataValidation>
  </dataValidations>
  <pageMargins left="0.75" right="0.75" top="1" bottom="1" header="0.511811023622047" footer="0.511811023622047"/>
  <pageSetup paperSize="9"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548235"/>
  </sheetPr>
  <dimension ref="A1:K34"/>
  <sheetViews>
    <sheetView workbookViewId="0">
      <pane ySplit="2" topLeftCell="A3" activePane="bottomLeft" state="frozen"/>
      <selection/>
      <selection pane="bottomLeft" activeCell="A1" sqref="A1:K1"/>
    </sheetView>
  </sheetViews>
  <sheetFormatPr defaultColWidth="8.6796875" defaultRowHeight="15" customHeight="1"/>
  <cols>
    <col min="1" max="1" width="10" customWidth="1"/>
    <col min="2" max="2" width="22" customWidth="1"/>
    <col min="3" max="4" width="10" customWidth="1"/>
    <col min="5" max="5" width="55" customWidth="1"/>
    <col min="6" max="6" width="35" customWidth="1"/>
    <col min="7" max="7" width="12" customWidth="1"/>
    <col min="8" max="8" width="10" customWidth="1"/>
    <col min="9" max="9" width="12" customWidth="1"/>
    <col min="10" max="10" width="14" customWidth="1"/>
    <col min="11" max="11" width="25" customWidth="1"/>
  </cols>
  <sheetData>
    <row r="1" ht="21" spans="1:11">
      <c r="A1" s="13" t="s">
        <v>112</v>
      </c>
      <c r="B1" s="13"/>
      <c r="C1" s="13"/>
      <c r="D1" s="13"/>
      <c r="E1" s="13"/>
      <c r="F1" s="13"/>
      <c r="G1" s="13"/>
      <c r="H1" s="13"/>
      <c r="I1" s="13"/>
      <c r="J1" s="13"/>
      <c r="K1" s="13"/>
    </row>
    <row r="2" ht="17" spans="1:11">
      <c r="A2" s="14" t="s">
        <v>37</v>
      </c>
      <c r="B2" s="14" t="s">
        <v>6</v>
      </c>
      <c r="C2" s="14" t="s">
        <v>38</v>
      </c>
      <c r="D2" s="14" t="s">
        <v>39</v>
      </c>
      <c r="E2" s="14" t="s">
        <v>40</v>
      </c>
      <c r="F2" s="14" t="s">
        <v>41</v>
      </c>
      <c r="G2" s="14" t="s">
        <v>42</v>
      </c>
      <c r="H2" s="14" t="s">
        <v>43</v>
      </c>
      <c r="I2" s="14" t="s">
        <v>44</v>
      </c>
      <c r="J2" s="14" t="s">
        <v>45</v>
      </c>
      <c r="K2" s="14" t="s">
        <v>46</v>
      </c>
    </row>
    <row r="3" ht="36" customHeight="1" spans="1:11">
      <c r="A3" s="3" t="s">
        <v>113</v>
      </c>
      <c r="B3" s="4" t="s">
        <v>114</v>
      </c>
      <c r="C3" s="5" t="s">
        <v>49</v>
      </c>
      <c r="D3" s="5" t="s">
        <v>50</v>
      </c>
      <c r="E3" s="6" t="s">
        <v>115</v>
      </c>
      <c r="F3" s="4" t="s">
        <v>116</v>
      </c>
      <c r="G3" s="3"/>
      <c r="H3" s="3"/>
      <c r="I3" s="6"/>
      <c r="J3" s="6"/>
      <c r="K3" s="6"/>
    </row>
    <row r="4" ht="72" customHeight="1" spans="1:11">
      <c r="A4" s="3" t="s">
        <v>117</v>
      </c>
      <c r="B4" s="4" t="s">
        <v>118</v>
      </c>
      <c r="C4" s="5" t="s">
        <v>119</v>
      </c>
      <c r="D4" s="9" t="s">
        <v>55</v>
      </c>
      <c r="E4" s="6" t="s">
        <v>120</v>
      </c>
      <c r="F4" s="4" t="s">
        <v>121</v>
      </c>
      <c r="G4" s="3"/>
      <c r="H4" s="3"/>
      <c r="I4" s="6"/>
      <c r="J4" s="6"/>
      <c r="K4" s="6"/>
    </row>
    <row r="5" ht="72" customHeight="1" spans="1:11">
      <c r="A5" s="3" t="s">
        <v>122</v>
      </c>
      <c r="B5" s="4" t="s">
        <v>123</v>
      </c>
      <c r="C5" s="5" t="s">
        <v>124</v>
      </c>
      <c r="D5" s="5" t="s">
        <v>50</v>
      </c>
      <c r="E5" s="6" t="s">
        <v>125</v>
      </c>
      <c r="F5" s="4" t="s">
        <v>126</v>
      </c>
      <c r="G5" s="3"/>
      <c r="H5" s="3"/>
      <c r="I5" s="6"/>
      <c r="J5" s="6"/>
      <c r="K5" s="6"/>
    </row>
    <row r="6" ht="54" customHeight="1" spans="1:11">
      <c r="A6" s="3" t="s">
        <v>127</v>
      </c>
      <c r="B6" s="4" t="s">
        <v>128</v>
      </c>
      <c r="C6" s="5" t="s">
        <v>124</v>
      </c>
      <c r="D6" s="5" t="s">
        <v>50</v>
      </c>
      <c r="E6" s="6" t="s">
        <v>129</v>
      </c>
      <c r="F6" s="4" t="s">
        <v>130</v>
      </c>
      <c r="G6" s="3"/>
      <c r="H6" s="3"/>
      <c r="I6" s="6"/>
      <c r="J6" s="6"/>
      <c r="K6" s="6"/>
    </row>
    <row r="7" ht="54" customHeight="1" spans="1:11">
      <c r="A7" s="3" t="s">
        <v>131</v>
      </c>
      <c r="B7" s="4" t="s">
        <v>132</v>
      </c>
      <c r="C7" s="5" t="s">
        <v>124</v>
      </c>
      <c r="D7" s="5" t="s">
        <v>50</v>
      </c>
      <c r="E7" s="6" t="s">
        <v>133</v>
      </c>
      <c r="F7" s="4" t="s">
        <v>134</v>
      </c>
      <c r="G7" s="3"/>
      <c r="H7" s="3"/>
      <c r="I7" s="6"/>
      <c r="J7" s="6"/>
      <c r="K7" s="6"/>
    </row>
    <row r="8" ht="72" customHeight="1" spans="1:11">
      <c r="A8" s="3" t="s">
        <v>135</v>
      </c>
      <c r="B8" s="4" t="s">
        <v>136</v>
      </c>
      <c r="C8" s="5" t="s">
        <v>124</v>
      </c>
      <c r="D8" s="5" t="s">
        <v>50</v>
      </c>
      <c r="E8" s="6" t="s">
        <v>137</v>
      </c>
      <c r="F8" s="4" t="s">
        <v>138</v>
      </c>
      <c r="G8" s="3"/>
      <c r="H8" s="3"/>
      <c r="I8" s="6"/>
      <c r="J8" s="6"/>
      <c r="K8" s="6"/>
    </row>
    <row r="9" ht="72" customHeight="1" spans="1:11">
      <c r="A9" s="3" t="s">
        <v>139</v>
      </c>
      <c r="B9" s="4" t="s">
        <v>140</v>
      </c>
      <c r="C9" s="5" t="s">
        <v>124</v>
      </c>
      <c r="D9" s="5" t="s">
        <v>50</v>
      </c>
      <c r="E9" s="6" t="s">
        <v>141</v>
      </c>
      <c r="F9" s="4" t="s">
        <v>142</v>
      </c>
      <c r="G9" s="3"/>
      <c r="H9" s="3"/>
      <c r="I9" s="6"/>
      <c r="J9" s="6"/>
      <c r="K9" s="6"/>
    </row>
    <row r="10" ht="72" customHeight="1" spans="1:11">
      <c r="A10" s="3" t="s">
        <v>143</v>
      </c>
      <c r="B10" s="4" t="s">
        <v>144</v>
      </c>
      <c r="C10" s="5" t="s">
        <v>124</v>
      </c>
      <c r="D10" s="5" t="s">
        <v>50</v>
      </c>
      <c r="E10" s="6" t="s">
        <v>145</v>
      </c>
      <c r="F10" s="4" t="s">
        <v>146</v>
      </c>
      <c r="G10" s="3"/>
      <c r="H10" s="3"/>
      <c r="I10" s="6"/>
      <c r="J10" s="6"/>
      <c r="K10" s="6"/>
    </row>
    <row r="11" ht="90" customHeight="1" spans="1:11">
      <c r="A11" s="3" t="s">
        <v>147</v>
      </c>
      <c r="B11" s="4" t="s">
        <v>148</v>
      </c>
      <c r="C11" s="5" t="s">
        <v>149</v>
      </c>
      <c r="D11" s="5" t="s">
        <v>50</v>
      </c>
      <c r="E11" s="6" t="s">
        <v>150</v>
      </c>
      <c r="F11" s="4" t="s">
        <v>151</v>
      </c>
      <c r="G11" s="3"/>
      <c r="H11" s="3"/>
      <c r="I11" s="6"/>
      <c r="J11" s="6"/>
      <c r="K11" s="6"/>
    </row>
    <row r="12" ht="72" customHeight="1" spans="1:11">
      <c r="A12" s="3" t="s">
        <v>152</v>
      </c>
      <c r="B12" s="4" t="s">
        <v>153</v>
      </c>
      <c r="C12" s="5" t="s">
        <v>149</v>
      </c>
      <c r="D12" s="9" t="s">
        <v>55</v>
      </c>
      <c r="E12" s="6" t="s">
        <v>154</v>
      </c>
      <c r="F12" s="4" t="s">
        <v>155</v>
      </c>
      <c r="G12" s="3"/>
      <c r="H12" s="3"/>
      <c r="I12" s="6"/>
      <c r="J12" s="6"/>
      <c r="K12" s="6"/>
    </row>
    <row r="13" ht="72" customHeight="1" spans="1:11">
      <c r="A13" s="3" t="s">
        <v>156</v>
      </c>
      <c r="B13" s="4" t="s">
        <v>157</v>
      </c>
      <c r="C13" s="5" t="s">
        <v>149</v>
      </c>
      <c r="D13" s="5" t="s">
        <v>50</v>
      </c>
      <c r="E13" s="6" t="s">
        <v>158</v>
      </c>
      <c r="F13" s="4" t="s">
        <v>159</v>
      </c>
      <c r="G13" s="3"/>
      <c r="H13" s="3"/>
      <c r="I13" s="6"/>
      <c r="J13" s="6"/>
      <c r="K13" s="6"/>
    </row>
    <row r="14" ht="72" customHeight="1" spans="1:11">
      <c r="A14" s="3" t="s">
        <v>160</v>
      </c>
      <c r="B14" s="4" t="s">
        <v>161</v>
      </c>
      <c r="C14" s="5" t="s">
        <v>149</v>
      </c>
      <c r="D14" s="5" t="s">
        <v>50</v>
      </c>
      <c r="E14" s="6" t="s">
        <v>162</v>
      </c>
      <c r="F14" s="4" t="s">
        <v>163</v>
      </c>
      <c r="G14" s="3"/>
      <c r="H14" s="3"/>
      <c r="I14" s="6"/>
      <c r="J14" s="6"/>
      <c r="K14" s="6"/>
    </row>
    <row r="15" ht="72" customHeight="1" spans="1:11">
      <c r="A15" s="3" t="s">
        <v>164</v>
      </c>
      <c r="B15" s="4" t="s">
        <v>165</v>
      </c>
      <c r="C15" s="5" t="s">
        <v>149</v>
      </c>
      <c r="D15" s="5" t="s">
        <v>50</v>
      </c>
      <c r="E15" s="6" t="s">
        <v>166</v>
      </c>
      <c r="F15" s="4" t="s">
        <v>167</v>
      </c>
      <c r="G15" s="3"/>
      <c r="H15" s="3"/>
      <c r="I15" s="6"/>
      <c r="J15" s="6"/>
      <c r="K15" s="6"/>
    </row>
    <row r="16" ht="72" customHeight="1" spans="1:11">
      <c r="A16" s="3" t="s">
        <v>168</v>
      </c>
      <c r="B16" s="4" t="s">
        <v>169</v>
      </c>
      <c r="C16" s="5" t="s">
        <v>149</v>
      </c>
      <c r="D16" s="5" t="s">
        <v>50</v>
      </c>
      <c r="E16" s="6" t="s">
        <v>170</v>
      </c>
      <c r="F16" s="4" t="s">
        <v>171</v>
      </c>
      <c r="G16" s="3"/>
      <c r="H16" s="3"/>
      <c r="I16" s="6"/>
      <c r="J16" s="6"/>
      <c r="K16" s="6"/>
    </row>
    <row r="17" ht="72" customHeight="1" spans="1:11">
      <c r="A17" s="3" t="s">
        <v>172</v>
      </c>
      <c r="B17" s="4" t="s">
        <v>173</v>
      </c>
      <c r="C17" s="5" t="s">
        <v>149</v>
      </c>
      <c r="D17" s="5" t="s">
        <v>50</v>
      </c>
      <c r="E17" s="6" t="s">
        <v>174</v>
      </c>
      <c r="F17" s="4" t="s">
        <v>175</v>
      </c>
      <c r="G17" s="3"/>
      <c r="H17" s="3"/>
      <c r="I17" s="6"/>
      <c r="J17" s="6"/>
      <c r="K17" s="6"/>
    </row>
    <row r="18" ht="90" customHeight="1" spans="1:11">
      <c r="A18" s="3" t="s">
        <v>176</v>
      </c>
      <c r="B18" s="4" t="s">
        <v>177</v>
      </c>
      <c r="C18" s="5" t="s">
        <v>149</v>
      </c>
      <c r="D18" s="5" t="s">
        <v>50</v>
      </c>
      <c r="E18" s="6" t="s">
        <v>178</v>
      </c>
      <c r="F18" s="4" t="s">
        <v>179</v>
      </c>
      <c r="G18" s="3"/>
      <c r="H18" s="3"/>
      <c r="I18" s="6"/>
      <c r="J18" s="6"/>
      <c r="K18" s="6"/>
    </row>
    <row r="19" ht="72" customHeight="1" spans="1:11">
      <c r="A19" s="3" t="s">
        <v>180</v>
      </c>
      <c r="B19" s="4" t="s">
        <v>181</v>
      </c>
      <c r="C19" s="5" t="s">
        <v>182</v>
      </c>
      <c r="D19" s="5" t="s">
        <v>50</v>
      </c>
      <c r="E19" s="6" t="s">
        <v>183</v>
      </c>
      <c r="F19" s="4" t="s">
        <v>184</v>
      </c>
      <c r="G19" s="3"/>
      <c r="H19" s="3"/>
      <c r="I19" s="6"/>
      <c r="J19" s="6"/>
      <c r="K19" s="6"/>
    </row>
    <row r="20" ht="72" customHeight="1" spans="1:11">
      <c r="A20" s="3" t="s">
        <v>185</v>
      </c>
      <c r="B20" s="4" t="s">
        <v>186</v>
      </c>
      <c r="C20" s="5" t="s">
        <v>182</v>
      </c>
      <c r="D20" s="5" t="s">
        <v>50</v>
      </c>
      <c r="E20" s="6" t="s">
        <v>187</v>
      </c>
      <c r="F20" s="4" t="s">
        <v>188</v>
      </c>
      <c r="G20" s="3"/>
      <c r="H20" s="3"/>
      <c r="I20" s="6"/>
      <c r="J20" s="6"/>
      <c r="K20" s="6"/>
    </row>
    <row r="21" ht="72" customHeight="1" spans="1:11">
      <c r="A21" s="3" t="s">
        <v>189</v>
      </c>
      <c r="B21" s="4" t="s">
        <v>190</v>
      </c>
      <c r="C21" s="5" t="s">
        <v>182</v>
      </c>
      <c r="D21" s="5" t="s">
        <v>50</v>
      </c>
      <c r="E21" s="6" t="s">
        <v>191</v>
      </c>
      <c r="F21" s="4" t="s">
        <v>192</v>
      </c>
      <c r="G21" s="3"/>
      <c r="H21" s="3"/>
      <c r="I21" s="6"/>
      <c r="J21" s="6"/>
      <c r="K21" s="6"/>
    </row>
    <row r="22" ht="54" customHeight="1" spans="1:11">
      <c r="A22" s="3" t="s">
        <v>193</v>
      </c>
      <c r="B22" s="4" t="s">
        <v>194</v>
      </c>
      <c r="C22" s="5" t="s">
        <v>182</v>
      </c>
      <c r="D22" s="5" t="s">
        <v>50</v>
      </c>
      <c r="E22" s="6" t="s">
        <v>195</v>
      </c>
      <c r="F22" s="4" t="s">
        <v>196</v>
      </c>
      <c r="G22" s="3"/>
      <c r="H22" s="3"/>
      <c r="I22" s="6"/>
      <c r="J22" s="6"/>
      <c r="K22" s="6"/>
    </row>
    <row r="23" ht="54" customHeight="1" spans="1:11">
      <c r="A23" s="3" t="s">
        <v>197</v>
      </c>
      <c r="B23" s="4" t="s">
        <v>198</v>
      </c>
      <c r="C23" s="5" t="s">
        <v>182</v>
      </c>
      <c r="D23" s="5" t="s">
        <v>50</v>
      </c>
      <c r="E23" s="6" t="s">
        <v>195</v>
      </c>
      <c r="F23" s="4" t="s">
        <v>199</v>
      </c>
      <c r="G23" s="3"/>
      <c r="H23" s="3"/>
      <c r="I23" s="6"/>
      <c r="J23" s="6"/>
      <c r="K23" s="6"/>
    </row>
    <row r="24" ht="72" customHeight="1" spans="1:11">
      <c r="A24" s="3" t="s">
        <v>200</v>
      </c>
      <c r="B24" s="4" t="s">
        <v>201</v>
      </c>
      <c r="C24" s="5" t="s">
        <v>202</v>
      </c>
      <c r="D24" s="5" t="s">
        <v>50</v>
      </c>
      <c r="E24" s="6" t="s">
        <v>203</v>
      </c>
      <c r="F24" s="4" t="s">
        <v>204</v>
      </c>
      <c r="G24" s="3"/>
      <c r="H24" s="3"/>
      <c r="I24" s="6"/>
      <c r="J24" s="6"/>
      <c r="K24" s="6"/>
    </row>
    <row r="25" ht="72" customHeight="1" spans="1:11">
      <c r="A25" s="3" t="s">
        <v>205</v>
      </c>
      <c r="B25" s="4" t="s">
        <v>206</v>
      </c>
      <c r="C25" s="5" t="s">
        <v>149</v>
      </c>
      <c r="D25" s="5" t="s">
        <v>50</v>
      </c>
      <c r="E25" s="6" t="s">
        <v>207</v>
      </c>
      <c r="F25" s="4" t="s">
        <v>208</v>
      </c>
      <c r="G25" s="3"/>
      <c r="H25" s="3"/>
      <c r="I25" s="6"/>
      <c r="J25" s="6"/>
      <c r="K25" s="6"/>
    </row>
    <row r="26" ht="90" customHeight="1" spans="1:11">
      <c r="A26" s="3" t="s">
        <v>209</v>
      </c>
      <c r="B26" s="4" t="s">
        <v>210</v>
      </c>
      <c r="C26" s="5" t="s">
        <v>149</v>
      </c>
      <c r="D26" s="5" t="s">
        <v>50</v>
      </c>
      <c r="E26" s="6" t="s">
        <v>211</v>
      </c>
      <c r="F26" s="4" t="s">
        <v>212</v>
      </c>
      <c r="G26" s="3"/>
      <c r="H26" s="3"/>
      <c r="I26" s="6"/>
      <c r="J26" s="6"/>
      <c r="K26" s="6"/>
    </row>
    <row r="27" ht="36" customHeight="1" spans="1:11">
      <c r="A27" s="3" t="s">
        <v>213</v>
      </c>
      <c r="B27" s="4" t="s">
        <v>214</v>
      </c>
      <c r="C27" s="5" t="s">
        <v>182</v>
      </c>
      <c r="D27" s="5" t="s">
        <v>50</v>
      </c>
      <c r="E27" s="6" t="s">
        <v>215</v>
      </c>
      <c r="F27" s="4" t="s">
        <v>216</v>
      </c>
      <c r="G27" s="3"/>
      <c r="H27" s="3"/>
      <c r="I27" s="6"/>
      <c r="J27" s="6"/>
      <c r="K27" s="6"/>
    </row>
    <row r="28" ht="72" customHeight="1" spans="1:11">
      <c r="A28" s="3" t="s">
        <v>217</v>
      </c>
      <c r="B28" s="4" t="s">
        <v>218</v>
      </c>
      <c r="C28" s="5" t="s">
        <v>149</v>
      </c>
      <c r="D28" s="5" t="s">
        <v>50</v>
      </c>
      <c r="E28" s="6" t="s">
        <v>219</v>
      </c>
      <c r="F28" s="4" t="s">
        <v>220</v>
      </c>
      <c r="G28" s="3"/>
      <c r="H28" s="3"/>
      <c r="I28" s="6"/>
      <c r="J28" s="6"/>
      <c r="K28" s="6"/>
    </row>
    <row r="29" ht="72" customHeight="1" spans="1:11">
      <c r="A29" s="3" t="s">
        <v>221</v>
      </c>
      <c r="B29" s="4" t="s">
        <v>222</v>
      </c>
      <c r="C29" s="5" t="s">
        <v>149</v>
      </c>
      <c r="D29" s="5" t="s">
        <v>50</v>
      </c>
      <c r="E29" s="6" t="s">
        <v>223</v>
      </c>
      <c r="F29" s="4" t="s">
        <v>224</v>
      </c>
      <c r="G29" s="3"/>
      <c r="H29" s="3"/>
      <c r="I29" s="6"/>
      <c r="J29" s="6"/>
      <c r="K29" s="6"/>
    </row>
    <row r="30" ht="108" customHeight="1" spans="1:11">
      <c r="A30" s="3" t="s">
        <v>225</v>
      </c>
      <c r="B30" s="4" t="s">
        <v>226</v>
      </c>
      <c r="C30" s="5" t="s">
        <v>227</v>
      </c>
      <c r="D30" s="5" t="s">
        <v>50</v>
      </c>
      <c r="E30" s="6" t="s">
        <v>228</v>
      </c>
      <c r="F30" s="4" t="s">
        <v>229</v>
      </c>
      <c r="G30" s="3"/>
      <c r="H30" s="3"/>
      <c r="I30" s="6"/>
      <c r="J30" s="6"/>
      <c r="K30" s="6"/>
    </row>
    <row r="31" ht="72" customHeight="1" spans="1:11">
      <c r="A31" s="3" t="s">
        <v>230</v>
      </c>
      <c r="B31" s="4" t="s">
        <v>231</v>
      </c>
      <c r="C31" s="5" t="s">
        <v>182</v>
      </c>
      <c r="D31" s="5" t="s">
        <v>50</v>
      </c>
      <c r="E31" s="6" t="s">
        <v>232</v>
      </c>
      <c r="F31" s="4" t="s">
        <v>233</v>
      </c>
      <c r="G31" s="3"/>
      <c r="H31" s="3"/>
      <c r="I31" s="6"/>
      <c r="J31" s="6"/>
      <c r="K31" s="6"/>
    </row>
    <row r="32" ht="90" customHeight="1" spans="1:11">
      <c r="A32" s="3" t="s">
        <v>234</v>
      </c>
      <c r="B32" s="4" t="s">
        <v>235</v>
      </c>
      <c r="C32" s="5" t="s">
        <v>182</v>
      </c>
      <c r="D32" s="5" t="s">
        <v>50</v>
      </c>
      <c r="E32" s="6" t="s">
        <v>236</v>
      </c>
      <c r="F32" s="4" t="s">
        <v>237</v>
      </c>
      <c r="G32" s="3"/>
      <c r="H32" s="3"/>
      <c r="I32" s="6"/>
      <c r="J32" s="6"/>
      <c r="K32" s="6"/>
    </row>
    <row r="33" ht="54" customHeight="1" spans="1:11">
      <c r="A33" s="3" t="s">
        <v>238</v>
      </c>
      <c r="B33" s="4" t="s">
        <v>239</v>
      </c>
      <c r="C33" s="5" t="s">
        <v>124</v>
      </c>
      <c r="D33" s="5" t="s">
        <v>50</v>
      </c>
      <c r="E33" s="6" t="s">
        <v>240</v>
      </c>
      <c r="F33" s="4" t="s">
        <v>241</v>
      </c>
      <c r="G33" s="3"/>
      <c r="H33" s="3"/>
      <c r="I33" s="6"/>
      <c r="J33" s="6"/>
      <c r="K33" s="6"/>
    </row>
    <row r="34" ht="90" customHeight="1" spans="1:11">
      <c r="A34" s="3" t="s">
        <v>242</v>
      </c>
      <c r="B34" s="4" t="s">
        <v>243</v>
      </c>
      <c r="C34" s="5" t="s">
        <v>182</v>
      </c>
      <c r="D34" s="5" t="s">
        <v>50</v>
      </c>
      <c r="E34" s="6" t="s">
        <v>244</v>
      </c>
      <c r="F34" s="4" t="s">
        <v>245</v>
      </c>
      <c r="G34" s="3"/>
      <c r="H34" s="3"/>
      <c r="I34" s="6"/>
      <c r="J34" s="6"/>
      <c r="K34" s="6"/>
    </row>
  </sheetData>
  <autoFilter xmlns:etc="http://www.wps.cn/officeDocument/2017/etCustomData" ref="A2:K34" etc:filterBottomFollowUsedRange="0">
    <extLst/>
  </autoFilter>
  <mergeCells count="1">
    <mergeCell ref="A1:K1"/>
  </mergeCells>
  <dataValidations count="2">
    <dataValidation type="list" allowBlank="1" errorTitle="輸入錯誤" error="請選擇：符合/部分符合/不符合/待確認" promptTitle="符合狀況" prompt="請選擇符合狀況" sqref="G3:G34">
      <formula1>"符合,部分符合,不符合,待確認"</formula1>
    </dataValidation>
    <dataValidation type="list" allowBlank="1" sqref="H3:H34">
      <formula1>"A,B,C,D,E"</formula1>
    </dataValidation>
  </dataValidations>
  <pageMargins left="0.75" right="0.75" top="1" bottom="1" header="0.511811023622047" footer="0.511811023622047"/>
  <pageSetup paperSize="9"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BF8F00"/>
  </sheetPr>
  <dimension ref="A1:K18"/>
  <sheetViews>
    <sheetView workbookViewId="0">
      <pane ySplit="2" topLeftCell="A3" activePane="bottomLeft" state="frozen"/>
      <selection/>
      <selection pane="bottomLeft" activeCell="A1" sqref="A1:K1"/>
    </sheetView>
  </sheetViews>
  <sheetFormatPr defaultColWidth="8.6796875" defaultRowHeight="15" customHeight="1"/>
  <cols>
    <col min="1" max="1" width="10" customWidth="1"/>
    <col min="2" max="2" width="22" customWidth="1"/>
    <col min="3" max="4" width="10" customWidth="1"/>
    <col min="5" max="5" width="55" customWidth="1"/>
    <col min="6" max="6" width="35" customWidth="1"/>
    <col min="7" max="7" width="12" customWidth="1"/>
    <col min="8" max="8" width="10" customWidth="1"/>
    <col min="9" max="9" width="12" customWidth="1"/>
    <col min="10" max="10" width="14" customWidth="1"/>
    <col min="11" max="11" width="25" customWidth="1"/>
  </cols>
  <sheetData>
    <row r="1" ht="21" spans="1:11">
      <c r="A1" s="10" t="s">
        <v>246</v>
      </c>
      <c r="B1" s="10"/>
      <c r="C1" s="10"/>
      <c r="D1" s="10"/>
      <c r="E1" s="10"/>
      <c r="F1" s="10"/>
      <c r="G1" s="10"/>
      <c r="H1" s="10"/>
      <c r="I1" s="10"/>
      <c r="J1" s="10"/>
      <c r="K1" s="10"/>
    </row>
    <row r="2" ht="17" spans="1:11">
      <c r="A2" s="11" t="s">
        <v>37</v>
      </c>
      <c r="B2" s="11" t="s">
        <v>6</v>
      </c>
      <c r="C2" s="11" t="s">
        <v>38</v>
      </c>
      <c r="D2" s="11" t="s">
        <v>39</v>
      </c>
      <c r="E2" s="11" t="s">
        <v>40</v>
      </c>
      <c r="F2" s="11" t="s">
        <v>41</v>
      </c>
      <c r="G2" s="11" t="s">
        <v>42</v>
      </c>
      <c r="H2" s="11" t="s">
        <v>43</v>
      </c>
      <c r="I2" s="11" t="s">
        <v>44</v>
      </c>
      <c r="J2" s="11" t="s">
        <v>45</v>
      </c>
      <c r="K2" s="11" t="s">
        <v>46</v>
      </c>
    </row>
    <row r="3" ht="108" customHeight="1" spans="1:11">
      <c r="A3" s="3" t="s">
        <v>247</v>
      </c>
      <c r="B3" s="4" t="s">
        <v>248</v>
      </c>
      <c r="C3" s="5" t="s">
        <v>249</v>
      </c>
      <c r="D3" s="5" t="s">
        <v>50</v>
      </c>
      <c r="E3" s="6" t="s">
        <v>250</v>
      </c>
      <c r="F3" s="4" t="s">
        <v>251</v>
      </c>
      <c r="G3" s="3"/>
      <c r="H3" s="3"/>
      <c r="I3" s="6"/>
      <c r="J3" s="6"/>
      <c r="K3" s="6"/>
    </row>
    <row r="4" ht="72" customHeight="1" spans="1:11">
      <c r="A4" s="3" t="s">
        <v>252</v>
      </c>
      <c r="B4" s="4" t="s">
        <v>253</v>
      </c>
      <c r="C4" s="5" t="s">
        <v>249</v>
      </c>
      <c r="D4" s="5" t="s">
        <v>50</v>
      </c>
      <c r="E4" s="6" t="s">
        <v>254</v>
      </c>
      <c r="F4" s="4" t="s">
        <v>255</v>
      </c>
      <c r="G4" s="3"/>
      <c r="H4" s="3"/>
      <c r="I4" s="6"/>
      <c r="J4" s="6"/>
      <c r="K4" s="6"/>
    </row>
    <row r="5" ht="72" customHeight="1" spans="1:11">
      <c r="A5" s="3" t="s">
        <v>256</v>
      </c>
      <c r="B5" s="4" t="s">
        <v>257</v>
      </c>
      <c r="C5" s="5" t="s">
        <v>249</v>
      </c>
      <c r="D5" s="5" t="s">
        <v>50</v>
      </c>
      <c r="E5" s="6" t="s">
        <v>258</v>
      </c>
      <c r="F5" s="4" t="s">
        <v>259</v>
      </c>
      <c r="G5" s="3"/>
      <c r="H5" s="3"/>
      <c r="I5" s="6"/>
      <c r="J5" s="6"/>
      <c r="K5" s="6"/>
    </row>
    <row r="6" ht="72" customHeight="1" spans="1:11">
      <c r="A6" s="3" t="s">
        <v>260</v>
      </c>
      <c r="B6" s="4" t="s">
        <v>261</v>
      </c>
      <c r="C6" s="5" t="s">
        <v>249</v>
      </c>
      <c r="D6" s="12" t="s">
        <v>76</v>
      </c>
      <c r="E6" s="6" t="s">
        <v>262</v>
      </c>
      <c r="F6" s="4" t="s">
        <v>263</v>
      </c>
      <c r="G6" s="3"/>
      <c r="H6" s="3"/>
      <c r="I6" s="6"/>
      <c r="J6" s="6"/>
      <c r="K6" s="6"/>
    </row>
    <row r="7" ht="108" customHeight="1" spans="1:11">
      <c r="A7" s="3" t="s">
        <v>264</v>
      </c>
      <c r="B7" s="4" t="s">
        <v>265</v>
      </c>
      <c r="C7" s="5" t="s">
        <v>249</v>
      </c>
      <c r="D7" s="9" t="s">
        <v>55</v>
      </c>
      <c r="E7" s="6" t="s">
        <v>266</v>
      </c>
      <c r="F7" s="4" t="s">
        <v>267</v>
      </c>
      <c r="G7" s="3"/>
      <c r="H7" s="3"/>
      <c r="I7" s="6"/>
      <c r="J7" s="6"/>
      <c r="K7" s="6"/>
    </row>
    <row r="8" ht="108" customHeight="1" spans="1:11">
      <c r="A8" s="3" t="s">
        <v>268</v>
      </c>
      <c r="B8" s="4" t="s">
        <v>269</v>
      </c>
      <c r="C8" s="5" t="s">
        <v>249</v>
      </c>
      <c r="D8" s="9" t="s">
        <v>55</v>
      </c>
      <c r="E8" s="6" t="s">
        <v>270</v>
      </c>
      <c r="F8" s="4" t="s">
        <v>271</v>
      </c>
      <c r="G8" s="3"/>
      <c r="H8" s="3"/>
      <c r="I8" s="6"/>
      <c r="J8" s="6"/>
      <c r="K8" s="6"/>
    </row>
    <row r="9" ht="36" customHeight="1" spans="1:11">
      <c r="A9" s="3" t="s">
        <v>272</v>
      </c>
      <c r="B9" s="4" t="s">
        <v>273</v>
      </c>
      <c r="C9" s="5" t="s">
        <v>182</v>
      </c>
      <c r="D9" s="9" t="s">
        <v>55</v>
      </c>
      <c r="E9" s="4" t="s">
        <v>274</v>
      </c>
      <c r="F9" s="4" t="s">
        <v>275</v>
      </c>
      <c r="G9" s="3"/>
      <c r="H9" s="3"/>
      <c r="I9" s="6"/>
      <c r="J9" s="6"/>
      <c r="K9" s="6"/>
    </row>
    <row r="10" ht="126" customHeight="1" spans="1:11">
      <c r="A10" s="3" t="s">
        <v>276</v>
      </c>
      <c r="B10" s="4" t="s">
        <v>277</v>
      </c>
      <c r="C10" s="5" t="s">
        <v>182</v>
      </c>
      <c r="D10" s="5" t="s">
        <v>50</v>
      </c>
      <c r="E10" s="6" t="s">
        <v>278</v>
      </c>
      <c r="F10" s="4" t="s">
        <v>279</v>
      </c>
      <c r="G10" s="3"/>
      <c r="H10" s="3"/>
      <c r="I10" s="6"/>
      <c r="J10" s="6"/>
      <c r="K10" s="6"/>
    </row>
    <row r="11" ht="108" customHeight="1" spans="1:11">
      <c r="A11" s="3" t="s">
        <v>280</v>
      </c>
      <c r="B11" s="4" t="s">
        <v>281</v>
      </c>
      <c r="C11" s="5" t="s">
        <v>249</v>
      </c>
      <c r="D11" s="12" t="s">
        <v>76</v>
      </c>
      <c r="E11" s="6" t="s">
        <v>282</v>
      </c>
      <c r="F11" s="4" t="s">
        <v>283</v>
      </c>
      <c r="G11" s="3"/>
      <c r="H11" s="3"/>
      <c r="I11" s="6"/>
      <c r="J11" s="6"/>
      <c r="K11" s="6"/>
    </row>
    <row r="12" ht="90" customHeight="1" spans="1:11">
      <c r="A12" s="3" t="s">
        <v>284</v>
      </c>
      <c r="B12" s="4" t="s">
        <v>285</v>
      </c>
      <c r="C12" s="5" t="s">
        <v>249</v>
      </c>
      <c r="D12" s="12" t="s">
        <v>76</v>
      </c>
      <c r="E12" s="6" t="s">
        <v>286</v>
      </c>
      <c r="F12" s="4" t="s">
        <v>287</v>
      </c>
      <c r="G12" s="3"/>
      <c r="H12" s="3"/>
      <c r="I12" s="6"/>
      <c r="J12" s="6"/>
      <c r="K12" s="6"/>
    </row>
    <row r="13" ht="72" customHeight="1" spans="1:11">
      <c r="A13" s="3" t="s">
        <v>288</v>
      </c>
      <c r="B13" s="4" t="s">
        <v>289</v>
      </c>
      <c r="C13" s="5" t="s">
        <v>249</v>
      </c>
      <c r="D13" s="12" t="s">
        <v>76</v>
      </c>
      <c r="E13" s="6" t="s">
        <v>290</v>
      </c>
      <c r="F13" s="4" t="s">
        <v>291</v>
      </c>
      <c r="G13" s="3"/>
      <c r="H13" s="3"/>
      <c r="I13" s="6"/>
      <c r="J13" s="6"/>
      <c r="K13" s="6"/>
    </row>
    <row r="14" ht="72" customHeight="1" spans="1:11">
      <c r="A14" s="3" t="s">
        <v>292</v>
      </c>
      <c r="B14" s="4" t="s">
        <v>293</v>
      </c>
      <c r="C14" s="5" t="s">
        <v>249</v>
      </c>
      <c r="D14" s="12" t="s">
        <v>76</v>
      </c>
      <c r="E14" s="6" t="s">
        <v>294</v>
      </c>
      <c r="F14" s="4" t="s">
        <v>295</v>
      </c>
      <c r="G14" s="3"/>
      <c r="H14" s="3"/>
      <c r="I14" s="6"/>
      <c r="J14" s="6"/>
      <c r="K14" s="6"/>
    </row>
    <row r="15" ht="72" customHeight="1" spans="1:11">
      <c r="A15" s="3" t="s">
        <v>296</v>
      </c>
      <c r="B15" s="4" t="s">
        <v>297</v>
      </c>
      <c r="C15" s="5" t="s">
        <v>182</v>
      </c>
      <c r="D15" s="5" t="s">
        <v>50</v>
      </c>
      <c r="E15" s="6" t="s">
        <v>298</v>
      </c>
      <c r="F15" s="4" t="s">
        <v>299</v>
      </c>
      <c r="G15" s="3"/>
      <c r="H15" s="3"/>
      <c r="I15" s="6"/>
      <c r="J15" s="6"/>
      <c r="K15" s="6"/>
    </row>
    <row r="16" ht="72" customHeight="1" spans="1:11">
      <c r="A16" s="3" t="s">
        <v>300</v>
      </c>
      <c r="B16" s="4" t="s">
        <v>301</v>
      </c>
      <c r="C16" s="5" t="s">
        <v>182</v>
      </c>
      <c r="D16" s="5" t="s">
        <v>50</v>
      </c>
      <c r="E16" s="6" t="s">
        <v>302</v>
      </c>
      <c r="F16" s="4" t="s">
        <v>303</v>
      </c>
      <c r="G16" s="3"/>
      <c r="H16" s="3"/>
      <c r="I16" s="6"/>
      <c r="J16" s="6"/>
      <c r="K16" s="6"/>
    </row>
    <row r="17" ht="54" customHeight="1" spans="1:11">
      <c r="A17" s="3" t="s">
        <v>304</v>
      </c>
      <c r="B17" s="4" t="s">
        <v>305</v>
      </c>
      <c r="C17" s="5" t="s">
        <v>149</v>
      </c>
      <c r="D17" s="12" t="s">
        <v>76</v>
      </c>
      <c r="E17" s="6" t="s">
        <v>306</v>
      </c>
      <c r="F17" s="4" t="s">
        <v>307</v>
      </c>
      <c r="G17" s="3"/>
      <c r="H17" s="3"/>
      <c r="I17" s="6"/>
      <c r="J17" s="6"/>
      <c r="K17" s="6"/>
    </row>
    <row r="18" ht="90" customHeight="1" spans="1:11">
      <c r="A18" s="3" t="s">
        <v>308</v>
      </c>
      <c r="B18" s="4" t="s">
        <v>309</v>
      </c>
      <c r="C18" s="5" t="s">
        <v>249</v>
      </c>
      <c r="D18" s="9" t="s">
        <v>55</v>
      </c>
      <c r="E18" s="6" t="s">
        <v>310</v>
      </c>
      <c r="F18" s="4" t="s">
        <v>311</v>
      </c>
      <c r="G18" s="3"/>
      <c r="H18" s="3"/>
      <c r="I18" s="6"/>
      <c r="J18" s="6"/>
      <c r="K18" s="6"/>
    </row>
  </sheetData>
  <autoFilter xmlns:etc="http://www.wps.cn/officeDocument/2017/etCustomData" ref="A2:K18" etc:filterBottomFollowUsedRange="0">
    <extLst/>
  </autoFilter>
  <mergeCells count="1">
    <mergeCell ref="A1:K1"/>
  </mergeCells>
  <dataValidations count="2">
    <dataValidation type="list" allowBlank="1" errorTitle="輸入錯誤" error="請選擇：符合/部分符合/不符合/待確認" promptTitle="符合狀況" prompt="請選擇符合狀況" sqref="G3:G34">
      <formula1>"符合,部分符合,不符合,待確認"</formula1>
    </dataValidation>
    <dataValidation type="list" allowBlank="1" sqref="H3:H34">
      <formula1>"A,B,C,D,E"</formula1>
    </dataValidation>
  </dataValidations>
  <pageMargins left="0.75" right="0.75" top="1" bottom="1" header="0.511811023622047" footer="0.511811023622047"/>
  <pageSetup paperSize="9" orientation="portrait"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843C0C"/>
  </sheetPr>
  <dimension ref="A1:K11"/>
  <sheetViews>
    <sheetView workbookViewId="0">
      <pane ySplit="2" topLeftCell="A3" activePane="bottomLeft" state="frozen"/>
      <selection/>
      <selection pane="bottomLeft" activeCell="A1" sqref="A1:K1"/>
    </sheetView>
  </sheetViews>
  <sheetFormatPr defaultColWidth="8.6796875" defaultRowHeight="15" customHeight="1"/>
  <cols>
    <col min="1" max="1" width="10" customWidth="1"/>
    <col min="2" max="2" width="22" customWidth="1"/>
    <col min="3" max="4" width="10" customWidth="1"/>
    <col min="5" max="5" width="55" customWidth="1"/>
    <col min="6" max="6" width="35" customWidth="1"/>
    <col min="7" max="7" width="12" customWidth="1"/>
    <col min="8" max="8" width="10" customWidth="1"/>
    <col min="9" max="9" width="12" customWidth="1"/>
    <col min="10" max="10" width="14" customWidth="1"/>
    <col min="11" max="11" width="25" customWidth="1"/>
  </cols>
  <sheetData>
    <row r="1" ht="21" spans="1:11">
      <c r="A1" s="7" t="s">
        <v>312</v>
      </c>
      <c r="B1" s="7"/>
      <c r="C1" s="7"/>
      <c r="D1" s="7"/>
      <c r="E1" s="7"/>
      <c r="F1" s="7"/>
      <c r="G1" s="7"/>
      <c r="H1" s="7"/>
      <c r="I1" s="7"/>
      <c r="J1" s="7"/>
      <c r="K1" s="7"/>
    </row>
    <row r="2" ht="17" spans="1:11">
      <c r="A2" s="8" t="s">
        <v>37</v>
      </c>
      <c r="B2" s="8" t="s">
        <v>6</v>
      </c>
      <c r="C2" s="8" t="s">
        <v>38</v>
      </c>
      <c r="D2" s="8" t="s">
        <v>39</v>
      </c>
      <c r="E2" s="8" t="s">
        <v>40</v>
      </c>
      <c r="F2" s="8" t="s">
        <v>41</v>
      </c>
      <c r="G2" s="8" t="s">
        <v>42</v>
      </c>
      <c r="H2" s="8" t="s">
        <v>43</v>
      </c>
      <c r="I2" s="8" t="s">
        <v>44</v>
      </c>
      <c r="J2" s="8" t="s">
        <v>45</v>
      </c>
      <c r="K2" s="8" t="s">
        <v>46</v>
      </c>
    </row>
    <row r="3" ht="72" customHeight="1" spans="1:11">
      <c r="A3" s="3" t="s">
        <v>313</v>
      </c>
      <c r="B3" s="4" t="s">
        <v>314</v>
      </c>
      <c r="C3" s="5" t="s">
        <v>124</v>
      </c>
      <c r="D3" s="9" t="s">
        <v>55</v>
      </c>
      <c r="E3" s="6" t="s">
        <v>315</v>
      </c>
      <c r="F3" s="4" t="s">
        <v>316</v>
      </c>
      <c r="G3" s="3"/>
      <c r="H3" s="3"/>
      <c r="I3" s="6"/>
      <c r="J3" s="6"/>
      <c r="K3" s="6"/>
    </row>
    <row r="4" ht="72" customHeight="1" spans="1:11">
      <c r="A4" s="3" t="s">
        <v>317</v>
      </c>
      <c r="B4" s="4" t="s">
        <v>318</v>
      </c>
      <c r="C4" s="5" t="s">
        <v>124</v>
      </c>
      <c r="D4" s="5" t="s">
        <v>50</v>
      </c>
      <c r="E4" s="6" t="s">
        <v>319</v>
      </c>
      <c r="F4" s="4" t="s">
        <v>320</v>
      </c>
      <c r="G4" s="3"/>
      <c r="H4" s="3"/>
      <c r="I4" s="6"/>
      <c r="J4" s="6"/>
      <c r="K4" s="6"/>
    </row>
    <row r="5" ht="72" customHeight="1" spans="1:11">
      <c r="A5" s="3" t="s">
        <v>321</v>
      </c>
      <c r="B5" s="4" t="s">
        <v>322</v>
      </c>
      <c r="C5" s="5" t="s">
        <v>124</v>
      </c>
      <c r="D5" s="5" t="s">
        <v>50</v>
      </c>
      <c r="E5" s="6" t="s">
        <v>323</v>
      </c>
      <c r="F5" s="4" t="s">
        <v>324</v>
      </c>
      <c r="G5" s="3"/>
      <c r="H5" s="3"/>
      <c r="I5" s="6"/>
      <c r="J5" s="6"/>
      <c r="K5" s="6"/>
    </row>
    <row r="6" ht="72" customHeight="1" spans="1:11">
      <c r="A6" s="3" t="s">
        <v>325</v>
      </c>
      <c r="B6" s="4" t="s">
        <v>326</v>
      </c>
      <c r="C6" s="5" t="s">
        <v>124</v>
      </c>
      <c r="D6" s="5" t="s">
        <v>50</v>
      </c>
      <c r="E6" s="6" t="s">
        <v>327</v>
      </c>
      <c r="F6" s="4" t="s">
        <v>328</v>
      </c>
      <c r="G6" s="3"/>
      <c r="H6" s="3"/>
      <c r="I6" s="6"/>
      <c r="J6" s="6"/>
      <c r="K6" s="6"/>
    </row>
    <row r="7" ht="72" customHeight="1" spans="1:11">
      <c r="A7" s="3" t="s">
        <v>329</v>
      </c>
      <c r="B7" s="4" t="s">
        <v>330</v>
      </c>
      <c r="C7" s="5" t="s">
        <v>124</v>
      </c>
      <c r="D7" s="5" t="s">
        <v>50</v>
      </c>
      <c r="E7" s="6" t="s">
        <v>331</v>
      </c>
      <c r="F7" s="4" t="s">
        <v>332</v>
      </c>
      <c r="G7" s="3"/>
      <c r="H7" s="3"/>
      <c r="I7" s="6"/>
      <c r="J7" s="6"/>
      <c r="K7" s="6"/>
    </row>
    <row r="8" ht="72" customHeight="1" spans="1:11">
      <c r="A8" s="3" t="s">
        <v>333</v>
      </c>
      <c r="B8" s="4" t="s">
        <v>334</v>
      </c>
      <c r="C8" s="5" t="s">
        <v>124</v>
      </c>
      <c r="D8" s="9" t="s">
        <v>55</v>
      </c>
      <c r="E8" s="6" t="s">
        <v>335</v>
      </c>
      <c r="F8" s="4" t="s">
        <v>336</v>
      </c>
      <c r="G8" s="3"/>
      <c r="H8" s="3"/>
      <c r="I8" s="6"/>
      <c r="J8" s="6"/>
      <c r="K8" s="6"/>
    </row>
    <row r="9" ht="54" customHeight="1" spans="1:11">
      <c r="A9" s="3" t="s">
        <v>337</v>
      </c>
      <c r="B9" s="4" t="s">
        <v>338</v>
      </c>
      <c r="C9" s="5" t="s">
        <v>124</v>
      </c>
      <c r="D9" s="5" t="s">
        <v>50</v>
      </c>
      <c r="E9" s="6" t="s">
        <v>339</v>
      </c>
      <c r="F9" s="4" t="s">
        <v>340</v>
      </c>
      <c r="G9" s="3"/>
      <c r="H9" s="3"/>
      <c r="I9" s="6"/>
      <c r="J9" s="6"/>
      <c r="K9" s="6"/>
    </row>
    <row r="10" ht="90" customHeight="1" spans="1:11">
      <c r="A10" s="3" t="s">
        <v>341</v>
      </c>
      <c r="B10" s="4" t="s">
        <v>342</v>
      </c>
      <c r="C10" s="5" t="s">
        <v>124</v>
      </c>
      <c r="D10" s="5" t="s">
        <v>50</v>
      </c>
      <c r="E10" s="6" t="s">
        <v>343</v>
      </c>
      <c r="F10" s="6" t="s">
        <v>344</v>
      </c>
      <c r="G10" s="3"/>
      <c r="H10" s="3"/>
      <c r="I10" s="6"/>
      <c r="J10" s="6"/>
      <c r="K10" s="6"/>
    </row>
    <row r="11" ht="72" customHeight="1" spans="1:11">
      <c r="A11" s="3" t="s">
        <v>345</v>
      </c>
      <c r="B11" s="4" t="s">
        <v>346</v>
      </c>
      <c r="C11" s="5" t="s">
        <v>124</v>
      </c>
      <c r="D11" s="5" t="s">
        <v>50</v>
      </c>
      <c r="E11" s="6" t="s">
        <v>347</v>
      </c>
      <c r="F11" s="4" t="s">
        <v>348</v>
      </c>
      <c r="G11" s="3"/>
      <c r="H11" s="3"/>
      <c r="I11" s="6"/>
      <c r="J11" s="6"/>
      <c r="K11" s="6"/>
    </row>
  </sheetData>
  <autoFilter xmlns:etc="http://www.wps.cn/officeDocument/2017/etCustomData" ref="A2:K11" etc:filterBottomFollowUsedRange="0">
    <extLst/>
  </autoFilter>
  <mergeCells count="1">
    <mergeCell ref="A1:K1"/>
  </mergeCells>
  <dataValidations count="2">
    <dataValidation type="list" allowBlank="1" errorTitle="輸入錯誤" error="請選擇：符合/部分符合/不符合/待確認" promptTitle="符合狀況" prompt="請選擇符合狀況" sqref="G3:G34">
      <formula1>"符合,部分符合,不符合,待確認"</formula1>
    </dataValidation>
    <dataValidation type="list" allowBlank="1" sqref="H3:H34">
      <formula1>"A,B,C,D,E"</formula1>
    </dataValidation>
  </dataValidations>
  <pageMargins left="0.75" right="0.75" top="1" bottom="1" header="0.511811023622047" footer="0.511811023622047"/>
  <pageSetup paperSize="9" orientation="portrait" horizontalDpi="300" verticalDpi="3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7030A0"/>
  </sheetPr>
  <dimension ref="A1:K5"/>
  <sheetViews>
    <sheetView workbookViewId="0">
      <pane ySplit="2" topLeftCell="A3" activePane="bottomLeft" state="frozen"/>
      <selection/>
      <selection pane="bottomLeft" activeCell="A1" sqref="A1:K1"/>
    </sheetView>
  </sheetViews>
  <sheetFormatPr defaultColWidth="8.6796875" defaultRowHeight="15" customHeight="1" outlineLevelRow="4"/>
  <cols>
    <col min="1" max="1" width="10" customWidth="1"/>
    <col min="2" max="2" width="22" customWidth="1"/>
    <col min="3" max="4" width="10" customWidth="1"/>
    <col min="5" max="5" width="55" customWidth="1"/>
    <col min="6" max="6" width="35" customWidth="1"/>
    <col min="7" max="7" width="12" customWidth="1"/>
    <col min="8" max="8" width="10" customWidth="1"/>
    <col min="9" max="9" width="12" customWidth="1"/>
    <col min="10" max="10" width="14" customWidth="1"/>
    <col min="11" max="11" width="25" customWidth="1"/>
  </cols>
  <sheetData>
    <row r="1" ht="21" spans="1:11">
      <c r="A1" s="1" t="s">
        <v>349</v>
      </c>
      <c r="B1" s="1"/>
      <c r="C1" s="1"/>
      <c r="D1" s="1"/>
      <c r="E1" s="1"/>
      <c r="F1" s="1"/>
      <c r="G1" s="1"/>
      <c r="H1" s="1"/>
      <c r="I1" s="1"/>
      <c r="J1" s="1"/>
      <c r="K1" s="1"/>
    </row>
    <row r="2" ht="17" spans="1:11">
      <c r="A2" s="2" t="s">
        <v>37</v>
      </c>
      <c r="B2" s="2" t="s">
        <v>6</v>
      </c>
      <c r="C2" s="2" t="s">
        <v>38</v>
      </c>
      <c r="D2" s="2" t="s">
        <v>39</v>
      </c>
      <c r="E2" s="2" t="s">
        <v>40</v>
      </c>
      <c r="F2" s="2" t="s">
        <v>41</v>
      </c>
      <c r="G2" s="2" t="s">
        <v>42</v>
      </c>
      <c r="H2" s="2" t="s">
        <v>43</v>
      </c>
      <c r="I2" s="2" t="s">
        <v>44</v>
      </c>
      <c r="J2" s="2" t="s">
        <v>45</v>
      </c>
      <c r="K2" s="2" t="s">
        <v>46</v>
      </c>
    </row>
    <row r="3" ht="36" customHeight="1" spans="1:11">
      <c r="A3" s="3" t="s">
        <v>350</v>
      </c>
      <c r="B3" s="4" t="s">
        <v>351</v>
      </c>
      <c r="C3" s="5" t="s">
        <v>49</v>
      </c>
      <c r="D3" s="5" t="s">
        <v>50</v>
      </c>
      <c r="E3" s="6" t="s">
        <v>352</v>
      </c>
      <c r="F3" s="4" t="s">
        <v>353</v>
      </c>
      <c r="G3" s="3"/>
      <c r="H3" s="3"/>
      <c r="I3" s="6"/>
      <c r="J3" s="6"/>
      <c r="K3" s="6"/>
    </row>
    <row r="4" ht="36" customHeight="1" spans="1:11">
      <c r="A4" s="3" t="s">
        <v>354</v>
      </c>
      <c r="B4" s="4" t="s">
        <v>355</v>
      </c>
      <c r="C4" s="5" t="s">
        <v>49</v>
      </c>
      <c r="D4" s="5" t="s">
        <v>50</v>
      </c>
      <c r="E4" s="6" t="s">
        <v>356</v>
      </c>
      <c r="F4" s="4" t="s">
        <v>357</v>
      </c>
      <c r="G4" s="3"/>
      <c r="H4" s="3"/>
      <c r="I4" s="6"/>
      <c r="J4" s="6"/>
      <c r="K4" s="6"/>
    </row>
    <row r="5" ht="36" customHeight="1" spans="1:11">
      <c r="A5" s="3" t="s">
        <v>358</v>
      </c>
      <c r="B5" s="4" t="s">
        <v>359</v>
      </c>
      <c r="C5" s="5" t="s">
        <v>49</v>
      </c>
      <c r="D5" s="5" t="s">
        <v>50</v>
      </c>
      <c r="E5" s="6" t="s">
        <v>360</v>
      </c>
      <c r="F5" s="4" t="s">
        <v>361</v>
      </c>
      <c r="G5" s="3"/>
      <c r="H5" s="3"/>
      <c r="I5" s="6"/>
      <c r="J5" s="6"/>
      <c r="K5" s="6"/>
    </row>
  </sheetData>
  <autoFilter xmlns:etc="http://www.wps.cn/officeDocument/2017/etCustomData" ref="A2:K5" etc:filterBottomFollowUsedRange="0">
    <extLst/>
  </autoFilter>
  <mergeCells count="1">
    <mergeCell ref="A1:K1"/>
  </mergeCells>
  <dataValidations count="2">
    <dataValidation type="list" allowBlank="1" errorTitle="輸入錯誤" error="請選擇：符合/部分符合/不符合/待確認" promptTitle="符合狀況" prompt="請選擇符合狀況" sqref="G3:G34">
      <formula1>"符合,部分符合,不符合,待確認"</formula1>
    </dataValidation>
    <dataValidation type="list" allowBlank="1" sqref="H3:H34">
      <formula1>"A,B,C,D,E"</formula1>
    </dataValidation>
  </dataValidations>
  <pageMargins left="0.75" right="0.75" top="1" bottom="1"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LibreOffice/25.2.6.2$Linux_AARCH64 LibreOffice_project/520$Build-2</Application>
  <HeadingPairs>
    <vt:vector size="2" baseType="variant">
      <vt:variant>
        <vt:lpstr>工作表</vt:lpstr>
      </vt:variant>
      <vt:variant>
        <vt:i4>6</vt:i4>
      </vt:variant>
    </vt:vector>
  </HeadingPairs>
  <TitlesOfParts>
    <vt:vector size="6" baseType="lpstr">
      <vt:lpstr>總覽</vt:lpstr>
      <vt:lpstr>A類</vt:lpstr>
      <vt:lpstr>B類</vt:lpstr>
      <vt:lpstr>C類</vt:lpstr>
      <vt:lpstr>D類</vt:lpstr>
      <vt:lpstr>E類</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happinessmed</cp:lastModifiedBy>
  <cp:revision>0</cp:revision>
  <dcterms:created xsi:type="dcterms:W3CDTF">2026-03-24T22:43:00Z</dcterms:created>
  <dcterms:modified xsi:type="dcterms:W3CDTF">2026-03-24T22:48:27Z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23A1AE665549406B3BA4C269AE5ECE8C_42</vt:lpwstr>
  </property>
  <property fmtid="{D5CDD505-2E9C-101B-9397-08002B2CF9AE}" pid="3" name="KSOProductBuildVer">
    <vt:lpwstr>3076-12.1.25205.25205</vt:lpwstr>
  </property>
  <property fmtid="{D5CDD505-2E9C-101B-9397-08002B2CF9AE}" pid="4" name="CalculationRule">
    <vt:i4>0</vt:i4>
  </property>
</Properties>
</file>